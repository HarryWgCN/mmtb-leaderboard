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charts/chart5.xml" ContentType="application/vnd.openxmlformats-officedocument.drawingml.chart+xml"/>
  <Override PartName="/docProps/core.xml" ContentType="application/vnd.openxmlformats-package.core-properties+xml"/>
  <Override PartName="/xl/worksheets/sheet9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11.xml" ContentType="application/vnd.openxmlformats-officedocument.spreadsheetml.worksheet+xml"/>
  <Override PartName="/xl/worksheets/sheet7.xml" ContentType="application/vnd.openxmlformats-officedocument.spreadsheetml.worksheet+xml"/>
  <Override PartName="/xl/charts/colors4.xml" ContentType="application/vnd.ms-office.chartcolorstyle+xml"/>
  <Override PartName="/xl/charts/style2.xml" ContentType="application/vnd.ms-office.chart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charts/colors5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olors1.xml" ContentType="application/vnd.ms-office.chartcolorstyle+xml"/>
  <Override PartName="/xl/theme/theme1.xml" ContentType="application/vnd.openxmlformats-officedocument.theme+xml"/>
  <Override PartName="/xl/charts/colors2.xml" ContentType="application/vnd.ms-office.chartcolorstyle+xml"/>
  <Override PartName="/xl/worksheets/sheet5.xml" ContentType="application/vnd.openxmlformats-officedocument.spreadsheetml.worksheet+xml"/>
  <Override PartName="/xl/charts/style1.xml" ContentType="application/vnd.ms-office.chartstyle+xml"/>
  <Override PartName="/xl/charts/style3.xml" ContentType="application/vnd.ms-office.chartstyle+xml"/>
  <Override PartName="/docProps/app.xml" ContentType="application/vnd.openxmlformats-officedocument.extended-properties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charts/style4.xml" ContentType="application/vnd.ms-office.chartstyle+xml"/>
  <Override PartName="/xl/charts/chart2.xml" ContentType="application/vnd.openxmlformats-officedocument.drawingml.char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charts/style5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工具分布" sheetId="1" r:id="rId3"/>
    <sheet name="参数分布" sheetId="2" r:id="rId4"/>
    <sheet name="长度分布" sheetId="3" r:id="rId5"/>
    <sheet name="动作类型分布" sheetId="4" r:id="rId6"/>
    <sheet name="多轮类型分布" sheetId="5" r:id="rId7"/>
    <sheet name="工作表1" sheetId="6" r:id="rId8"/>
    <sheet name="指标" sheetId="7" r:id="rId9"/>
    <sheet name="指标old" sheetId="8" state="hidden" r:id="rId10"/>
    <sheet name="bench比较" sheetId="9" r:id="rId11"/>
    <sheet name="模型实验计划" sheetId="10" r:id="rId12"/>
    <sheet name="指标(副本)" sheetId="11" state="hidden" r:id="rId13"/>
    <sheet name="细类目" sheetId="12" r:id="rId14"/>
    <sheet name="messages length" sheetId="13" r:id="rId15"/>
    <sheet name="缺失的key" sheetId="14" r:id="rId16"/>
  </sheets>
  <calcPr/>
</workbook>
</file>

<file path=xl/sharedStrings.xml><?xml version="1.0" encoding="utf-8"?>
<sst xmlns="http://schemas.openxmlformats.org/spreadsheetml/2006/main" count="404" uniqueCount="404">
  <si>
    <t/>
  </si>
  <si>
    <t>模型名</t>
  </si>
  <si>
    <t>模型类别</t>
  </si>
  <si>
    <t>数据类型</t>
  </si>
  <si>
    <t>整体</t>
  </si>
  <si>
    <t>类型</t>
  </si>
  <si>
    <t>层数</t>
  </si>
  <si>
    <t>串并行调用分析</t>
  </si>
  <si>
    <t>多工具进度（纯串）</t>
  </si>
  <si>
    <t>多工具进度（串并）</t>
  </si>
  <si>
    <t>多工具进度</t>
  </si>
  <si>
    <t xml:space="preserve"> 最优路径率(串并)</t>
  </si>
  <si>
    <t xml:space="preserve"> 最优路径率</t>
  </si>
  <si>
    <t>错误占比</t>
  </si>
  <si>
    <t>真伪多轮</t>
  </si>
  <si>
    <t>真多轮细分类型</t>
  </si>
  <si>
    <t>单</t>
  </si>
  <si>
    <t>多</t>
  </si>
  <si>
    <t>拒</t>
  </si>
  <si>
    <t>反</t>
  </si>
  <si>
    <t>并行多工具调用</t>
  </si>
  <si>
    <t>串行多工具调用</t>
  </si>
  <si>
    <t>串并行多工具调用</t>
  </si>
  <si>
    <t>action</t>
  </si>
  <si>
    <t>param</t>
  </si>
  <si>
    <t>伪多轮</t>
  </si>
  <si>
    <t>真多轮</t>
  </si>
  <si>
    <t>指代理解</t>
  </si>
  <si>
    <t>省略成分</t>
  </si>
  <si>
    <t>主动调整</t>
  </si>
  <si>
    <t>长期记忆</t>
  </si>
  <si>
    <t>拒答</t>
  </si>
  <si>
    <t>函数名幻觉</t>
  </si>
  <si>
    <t>未询问信息</t>
  </si>
  <si>
    <t>未正确拒答</t>
  </si>
  <si>
    <t>冗余调用</t>
  </si>
  <si>
    <t>调用错误</t>
  </si>
  <si>
    <t>提前中止</t>
  </si>
  <si>
    <t>缺失必要参数</t>
  </si>
  <si>
    <t>参数幻觉</t>
  </si>
  <si>
    <t>参数类型错误</t>
  </si>
  <si>
    <t>参数值幻觉</t>
  </si>
  <si>
    <t>参数值错误</t>
  </si>
  <si>
    <t>hunyuan-functioncall</t>
  </si>
  <si>
    <t>中文</t>
  </si>
  <si>
    <t xml:space="preserve"> </t>
  </si>
  <si>
    <t>有role</t>
  </si>
  <si>
    <t>hunyuan</t>
  </si>
  <si>
    <t>没有role</t>
  </si>
  <si>
    <t>英文</t>
  </si>
  <si>
    <t>toolace</t>
  </si>
  <si>
    <t>xlam</t>
  </si>
  <si>
    <t>总结回复能力较差</t>
  </si>
  <si>
    <t>gpt4-o</t>
  </si>
  <si>
    <t>llama</t>
  </si>
  <si>
    <t>新测试集</t>
  </si>
  <si>
    <t>新测试集-参数清洗 - final 6</t>
  </si>
  <si>
    <t>不考虑参数</t>
  </si>
  <si>
    <t>diff</t>
  </si>
  <si>
    <t>新测试集-参数清洗2 - final 7</t>
  </si>
  <si>
    <t>qwen2.5 32b</t>
  </si>
  <si>
    <t>qwen2.5 14b</t>
  </si>
  <si>
    <t>qwen2.5 7b</t>
  </si>
  <si>
    <t>qwen2.5 3b</t>
  </si>
  <si>
    <t>qwen2.5 1.5b</t>
  </si>
  <si>
    <t>qwen2.5 0.5b</t>
  </si>
  <si>
    <t>新测试集-参数清洗2 - final 8</t>
  </si>
  <si>
    <t>闭源模型</t>
  </si>
  <si>
    <t>gpt-4o-2024-11-20</t>
  </si>
  <si>
    <t>gemini-1.5-pro-002</t>
  </si>
  <si>
    <t>claude</t>
  </si>
  <si>
    <t>mistral</t>
  </si>
  <si>
    <t>hunyuan-turbo</t>
  </si>
  <si>
    <t>hunyuan-funcall</t>
  </si>
  <si>
    <t>fc_general_20240112_epoch2</t>
  </si>
  <si>
    <t>开源专用模型</t>
  </si>
  <si>
    <t>toolace-8b</t>
  </si>
  <si>
    <t>xlam-7b-fc-r</t>
  </si>
  <si>
    <t>gorilla-openfunctions-v2</t>
  </si>
  <si>
    <t>watt-tool 8b</t>
  </si>
  <si>
    <t>MadeAgents/Hammer2.1-7b</t>
  </si>
  <si>
    <t>MadeAgents/Hammer2.1-3b</t>
  </si>
  <si>
    <t>MadeAgents/Hammer2.1-1.5b</t>
  </si>
  <si>
    <t>MadeAgents/Hammer2.1-0.5b</t>
  </si>
  <si>
    <t>开源通用模型</t>
  </si>
  <si>
    <t>llama3.3-70b</t>
  </si>
  <si>
    <t>llama8b</t>
  </si>
  <si>
    <t>llama3b</t>
  </si>
  <si>
    <t>llama1b</t>
  </si>
  <si>
    <t>qwen2.5-72b</t>
  </si>
  <si>
    <t>qwen2.5-32b</t>
  </si>
  <si>
    <t>qwen2.5-14b</t>
  </si>
  <si>
    <t>qwen2.5-7b</t>
  </si>
  <si>
    <t>qwen2.5-3b</t>
  </si>
  <si>
    <t>qwen2.5-1.5b</t>
  </si>
  <si>
    <t>qwen2.5-0.5b</t>
  </si>
  <si>
    <t>chatglm4-9b</t>
  </si>
  <si>
    <t>Action Type</t>
  </si>
  <si>
    <t>Single</t>
  </si>
  <si>
    <t>Multi</t>
  </si>
  <si>
    <t>Clarify</t>
  </si>
  <si>
    <t>Chat</t>
  </si>
  <si>
    <t>Parallel</t>
  </si>
  <si>
    <t>Serial</t>
  </si>
  <si>
    <t>Parallel&amp;Serial</t>
  </si>
  <si>
    <t>Number</t>
  </si>
  <si>
    <t>Multi-Parallel</t>
  </si>
  <si>
    <t>Multi-Serial</t>
  </si>
  <si>
    <t>Multi-Parallel&amp;Serial</t>
  </si>
  <si>
    <t>now</t>
  </si>
  <si>
    <t>target</t>
  </si>
  <si>
    <t>是否完成</t>
  </si>
  <si>
    <t>单单反反</t>
  </si>
  <si>
    <t>单单多反</t>
  </si>
  <si>
    <t>✅</t>
  </si>
  <si>
    <t>db3d2785-d9f8-414f-825f-bb6fc429e843</t>
  </si>
  <si>
    <t>单多多单</t>
  </si>
  <si>
    <t>单多多多</t>
  </si>
  <si>
    <t>7af41e0a-74f3-4c93-9071-b4f90c255436</t>
  </si>
  <si>
    <t>单多单</t>
  </si>
  <si>
    <t>单反单</t>
  </si>
  <si>
    <t>d57f9bfb-7a5a-481f-907b-2a26a09b8b2b</t>
  </si>
  <si>
    <t>单拒反反</t>
  </si>
  <si>
    <t>单反反反</t>
  </si>
  <si>
    <t>b1d29d8f-5b3b-47cb-95d8-d972f005252f</t>
  </si>
  <si>
    <t>单拒反拒</t>
  </si>
  <si>
    <t>单反反拒</t>
  </si>
  <si>
    <t>1e72771c-c602-4941-ac6d-1bd6bd8a66ba</t>
  </si>
  <si>
    <t>多多多单</t>
  </si>
  <si>
    <t>多多反单</t>
  </si>
  <si>
    <t>86fc61ea-a7b7-4d39-9958-81648c400867</t>
  </si>
  <si>
    <t>多反多多</t>
  </si>
  <si>
    <t>多反反多</t>
  </si>
  <si>
    <t>0b0c9159-11b8-4590-b2cb-14df656d99cf</t>
  </si>
  <si>
    <t>单拒多拒</t>
  </si>
  <si>
    <t>多拒多拒</t>
  </si>
  <si>
    <t>66d8dfe0-3aee-4d82-81d8-d1d91d817d0f</t>
  </si>
  <si>
    <t>单单单反</t>
  </si>
  <si>
    <t>反单单反</t>
  </si>
  <si>
    <t>462e03d3-f6e1-4597-a779-7538e7c1e7eb</t>
  </si>
  <si>
    <t>多单多</t>
  </si>
  <si>
    <t>反单多</t>
  </si>
  <si>
    <t>7d09c667-35e5-4777-989c-b4a3ab552acb</t>
  </si>
  <si>
    <t>多多单拒</t>
  </si>
  <si>
    <t>反多单拒</t>
  </si>
  <si>
    <t>b3022e37-3ac9-45d9-bd65-be8a33aab9a3</t>
  </si>
  <si>
    <t>反多多多</t>
  </si>
  <si>
    <t>反多多反</t>
  </si>
  <si>
    <t>9473adcc-2349-4086-9944-f05a1a0e90f2</t>
  </si>
  <si>
    <t>反多反单</t>
  </si>
  <si>
    <t>反多反反</t>
  </si>
  <si>
    <t>da6f3463-040d-4b27-8362-54e940124bab</t>
  </si>
  <si>
    <t>反多拒拒</t>
  </si>
  <si>
    <t>反反拒拒</t>
  </si>
  <si>
    <t>895687e6-4a28-4ebe-bec8-87bc53153260</t>
  </si>
  <si>
    <t>拒拒多</t>
  </si>
  <si>
    <t>反拒反拒</t>
  </si>
  <si>
    <t>ab97d04e-077b-4612-a1e4-395e62e556b5</t>
  </si>
  <si>
    <t>a3191da2-32aa-426a-af1f-0d17c4ec490c</t>
  </si>
  <si>
    <t>拒多拒</t>
  </si>
  <si>
    <t>拒多拒多</t>
  </si>
  <si>
    <t>4e088713-3a26-4305-b238-bb35c211a3a2</t>
  </si>
  <si>
    <t>拒反单单</t>
  </si>
  <si>
    <t>拒反单反</t>
  </si>
  <si>
    <t>f0c6a596-fb4d-4db9-85d5-d80ae3802ec4</t>
  </si>
  <si>
    <t>拒反多多</t>
  </si>
  <si>
    <t>拒反反多</t>
  </si>
  <si>
    <t>6ad136fb-b681-462b-b00a-ac22f5981e9e</t>
  </si>
  <si>
    <t>层级</t>
  </si>
  <si>
    <t>数据量</t>
  </si>
  <si>
    <t>gpt4-o-参数评估</t>
  </si>
  <si>
    <t>gpt4-o-没有上下文</t>
  </si>
  <si>
    <t>gpt4-o-加权</t>
  </si>
  <si>
    <t>Bench</t>
  </si>
  <si>
    <t>多任务</t>
  </si>
  <si>
    <t>评估维度</t>
  </si>
  <si>
    <t>端到端</t>
  </si>
  <si>
    <t>动作空间覆盖率</t>
  </si>
  <si>
    <t>并</t>
  </si>
  <si>
    <t>串</t>
  </si>
  <si>
    <t>串并</t>
  </si>
  <si>
    <t>工具选择</t>
  </si>
  <si>
    <t>工具参数</t>
  </si>
  <si>
    <t>RealToolBench</t>
  </si>
  <si>
    <t>[1.0, 1.0, 1.0, 1.0]</t>
  </si>
  <si>
    <t>BFCL-V1</t>
  </si>
  <si>
    <t>❌</t>
  </si>
  <si>
    <t>[0.75, 0, 0, 0]</t>
  </si>
  <si>
    <t>BFCL-V2</t>
  </si>
  <si>
    <t>BFCL-V3</t>
  </si>
  <si>
    <t>[1.0, 0.75, 0.53, 0.33]</t>
  </si>
  <si>
    <t>ToolBench</t>
  </si>
  <si>
    <t>[0.5, 0, 0, 0]</t>
  </si>
  <si>
    <t>AnyToolBench</t>
  </si>
  <si>
    <t>T-EVAL</t>
  </si>
  <si>
    <t>[0.25, 0, 0, 0]</t>
  </si>
  <si>
    <t>UltraTool</t>
  </si>
  <si>
    <t>τ-bench</t>
  </si>
  <si>
    <t>家族</t>
  </si>
  <si>
    <t>开源</t>
  </si>
  <si>
    <t>final 7是否完成</t>
  </si>
  <si>
    <t>final 8是否完成</t>
  </si>
  <si>
    <t>date</t>
  </si>
  <si>
    <t>note</t>
  </si>
  <si>
    <t>闭源</t>
  </si>
  <si>
    <t>system message</t>
  </si>
  <si>
    <t>gpt4-o1</t>
  </si>
  <si>
    <t xml:space="preserve">gemini </t>
  </si>
  <si>
    <t>claude 3.5</t>
  </si>
  <si>
    <t>doubao 1.5</t>
  </si>
  <si>
    <t>deepseekv3</t>
  </si>
  <si>
    <t>deepseek r1</t>
  </si>
  <si>
    <t>qwen-max</t>
  </si>
  <si>
    <t>llama 70b</t>
  </si>
  <si>
    <t>llama3.3</t>
  </si>
  <si>
    <t>▶️</t>
  </si>
  <si>
    <t>llama 8b</t>
  </si>
  <si>
    <t>llama3.1</t>
  </si>
  <si>
    <t>llama 3b</t>
  </si>
  <si>
    <t>llama3.2</t>
  </si>
  <si>
    <t>llama 1b</t>
  </si>
  <si>
    <t>qwen 72B</t>
  </si>
  <si>
    <t>qwen2.5</t>
  </si>
  <si>
    <t>qwen 32B</t>
  </si>
  <si>
    <t>qwen 14B</t>
  </si>
  <si>
    <t>qwen 7B</t>
  </si>
  <si>
    <t>qwen 3B</t>
  </si>
  <si>
    <t>qwen 1.5B</t>
  </si>
  <si>
    <t>qwen 0.5B</t>
  </si>
  <si>
    <t>chatglm9b</t>
  </si>
  <si>
    <t>chatglm</t>
  </si>
  <si>
    <t>Gorilla-OpenFunctions-v2 7b</t>
  </si>
  <si>
    <t>watt-tool 70b</t>
  </si>
  <si>
    <t>watt-tool</t>
  </si>
  <si>
    <t xml:space="preserve"> tool 用 user，拆分</t>
  </si>
  <si>
    <t>meetkai/functionary-medium-v3.1</t>
  </si>
  <si>
    <t xml:space="preserve">tool 用 tool，拆分，时间system </t>
  </si>
  <si>
    <t>hammer 2.1</t>
  </si>
  <si>
    <t>tool llm</t>
  </si>
  <si>
    <t>API-Bank</t>
  </si>
  <si>
    <t>tool former</t>
  </si>
  <si>
    <t>phi4-medium-14b</t>
  </si>
  <si>
    <t>phi</t>
  </si>
  <si>
    <t>phi3.5-mini-3.8b</t>
  </si>
  <si>
    <t>phi3-small-7b</t>
  </si>
  <si>
    <t>phi3-mini-3.8b</t>
  </si>
  <si>
    <t>Category</t>
  </si>
  <si>
    <t>Development</t>
  </si>
  <si>
    <t>Geocoding</t>
  </si>
  <si>
    <t>Games</t>
  </si>
  <si>
    <t>Government</t>
  </si>
  <si>
    <t>Transportation</t>
  </si>
  <si>
    <t>Cryptocurrency</t>
  </si>
  <si>
    <t>Finance</t>
  </si>
  <si>
    <t>Video</t>
  </si>
  <si>
    <t>Health</t>
  </si>
  <si>
    <t>Business</t>
  </si>
  <si>
    <t>Weather</t>
  </si>
  <si>
    <t>News</t>
  </si>
  <si>
    <t>Music</t>
  </si>
  <si>
    <t>Social</t>
  </si>
  <si>
    <t>Food</t>
  </si>
  <si>
    <t>Jobs</t>
  </si>
  <si>
    <t>Personality</t>
  </si>
  <si>
    <t>Test Data</t>
  </si>
  <si>
    <t>URL Shorteners</t>
  </si>
  <si>
    <t>Science</t>
  </si>
  <si>
    <t>Photography</t>
  </si>
  <si>
    <t>Open Data</t>
  </si>
  <si>
    <t>Security</t>
  </si>
  <si>
    <t>Anime</t>
  </si>
  <si>
    <t>Email</t>
  </si>
  <si>
    <t>Dictionaries</t>
  </si>
  <si>
    <t>Environment</t>
  </si>
  <si>
    <t>Animals</t>
  </si>
  <si>
    <t>Sports</t>
  </si>
  <si>
    <t>Books</t>
  </si>
  <si>
    <t>Calendar</t>
  </si>
  <si>
    <t>Documents</t>
  </si>
  <si>
    <t>Machine Learning</t>
  </si>
  <si>
    <t>Anti-Malware</t>
  </si>
  <si>
    <t>Currency Exchange</t>
  </si>
  <si>
    <t>Art</t>
  </si>
  <si>
    <t>Data Validation</t>
  </si>
  <si>
    <t>Open Source Projects</t>
  </si>
  <si>
    <t>Shopping</t>
  </si>
  <si>
    <t>Entertainment</t>
  </si>
  <si>
    <t>Phone</t>
  </si>
  <si>
    <t>Blockchain</t>
  </si>
  <si>
    <t>Patent</t>
  </si>
  <si>
    <t>Text Analysis</t>
  </si>
  <si>
    <t>Tracking</t>
  </si>
  <si>
    <t>Authentication</t>
  </si>
  <si>
    <t>Events</t>
  </si>
  <si>
    <t>Vehicle</t>
  </si>
  <si>
    <t>Cloud Storage</t>
  </si>
  <si>
    <t>Continuous Integration</t>
  </si>
  <si>
    <t>string</t>
  </si>
  <si>
    <t>integer</t>
  </si>
  <si>
    <t>string-enum</t>
  </si>
  <si>
    <t>boolean</t>
  </si>
  <si>
    <t>array</t>
  </si>
  <si>
    <t>object</t>
  </si>
  <si>
    <t>float</t>
  </si>
  <si>
    <t>integer-enum</t>
  </si>
  <si>
    <t>array-object</t>
  </si>
  <si>
    <t>object-array</t>
  </si>
  <si>
    <t>object-object</t>
  </si>
  <si>
    <t>Messages Length</t>
  </si>
  <si>
    <t>Max Messages Length</t>
  </si>
  <si>
    <t>Avg Messages Length</t>
  </si>
  <si>
    <t>测试文件路径</t>
  </si>
  <si>
    <t>/apdcephfs_cq8/share_1324356/jinjianli/learn/answer_list_request/database/data_reformat.jsonl.beautiful.4.final.withenglish.final</t>
  </si>
  <si>
    <t>测试结果路径</t>
  </si>
  <si>
    <t>/apdcephfs_cq8/share_1324356/jinjianli/learn/answer_list_request/data</t>
  </si>
  <si>
    <t>006d2a_toolace_fc.jsonl</t>
  </si>
  <si>
    <t>15de99_xlam_fc.jsonl</t>
  </si>
  <si>
    <t>be84a2_hunyuan_fc.jsonl</t>
  </si>
  <si>
    <t>16758d_hunyuan_fc.jsonl</t>
  </si>
  <si>
    <t>gpt4o</t>
  </si>
  <si>
    <t>98cf65_gpt4_fc.jsonl</t>
  </si>
  <si>
    <t>未过滤多余单轮</t>
  </si>
  <si>
    <t>id</t>
  </si>
  <si>
    <t>num</t>
  </si>
  <si>
    <t>avg</t>
  </si>
  <si>
    <t>min</t>
  </si>
  <si>
    <t>max</t>
  </si>
  <si>
    <t>context avg</t>
  </si>
  <si>
    <t>context min</t>
  </si>
  <si>
    <t>context max</t>
  </si>
  <si>
    <t>false multi</t>
  </si>
  <si>
    <t>true multi</t>
  </si>
  <si>
    <t>true multi rate</t>
  </si>
  <si>
    <t>NA</t>
  </si>
  <si>
    <t>过滤多余单轮</t>
  </si>
  <si>
    <t>/apdcephfs_cq8/share_1324356/jinjianli/learn/answer_list_request/data/b5a699_hunyuan_fc_.jsonl</t>
  </si>
  <si>
    <t>miss_key_list 18 :['单单多反', '单多多多', '单反单', '单反反反', '单反反拒', '多多反单', '多反反多', '多拒多拒', '反单单反', '反单多', '反多单拒', '反多多反', '反多反反', '反反拒拒', '反拒反拒', '拒多拒多', '拒反单反', '拒反反多']</t>
  </si>
  <si>
    <t>miss percent: 94.41%</t>
  </si>
  <si>
    <t>reject tool calling</t>
  </si>
  <si>
    <t># 只需要修改测试文件 data_path 和 结果输出路径 output_path
# 测试文件格式可以参考 /apdcephfs_cq8/share_1324356/jinjianli/learn/answer_list_request/database/label_64multi/tmp_data/tmp_test_data.final
# 如果测试模型到中途报错停止，可以修改 continue_file 继续测试。
python3 request_pipeline.py \
    --model=gpt4 \
    --data_path=/apdcephfs_cq8/share_1324356/jinjianli/learn/answer_list_request/database/label_64multi/tmp_data/tmp_test_data.final \
    --output_path=/apdcephfs_cq8/share_1324356/jinjianli/learn/answer_list_request/data \
    --language=zh \
    --model_url=http://11.220.38.154:12345 \
    --continue_file=empty.jsonl \
    --remove_role=True \
    --contain_context=True
# 结果文件路径推荐用绝对路径
# analysis 会输出结果和打印分析文件到【执行路径】下的 ./data_with_details.csv
python3 analysis_result.py \
    /apdcephfs_cq8/share_1324356/jinjianli/learn/answer_list_request/data/2025-01-28-01:04:26_5ceef4_gpt4_zh_remove_role_contain_context.jsonl \
    --output_csv_flag=True \
    --output_csv_path=./data_with_details.csv</t>
  </si>
  <si>
    <t>function name hallucination</t>
  </si>
  <si>
    <t>missing information in tool calling</t>
  </si>
  <si>
    <t>redundant tool calling</t>
  </si>
  <si>
    <t>call the wrong function</t>
  </si>
  <si>
    <t>early stop</t>
  </si>
  <si>
    <t>miss required params</t>
  </si>
  <si>
    <t>param hallucination</t>
  </si>
  <si>
    <t>type error</t>
  </si>
  <si>
    <t>param value hallucination</t>
  </si>
  <si>
    <t>param value error</t>
  </si>
  <si>
    <t>turn type</t>
  </si>
  <si>
    <t>messages len</t>
  </si>
  <si>
    <t>cnt</t>
  </si>
  <si>
    <t>gpt4</t>
  </si>
  <si>
    <t>llama70b</t>
  </si>
  <si>
    <t>新测试集-参数清洗2 - final 10</t>
  </si>
  <si>
    <t>GPT-4o-2024-08-06</t>
  </si>
  <si>
    <t>GPT-4o-2024-11-20</t>
  </si>
  <si>
    <t>Gemini-1.5-Pro-002</t>
  </si>
  <si>
    <t>Claude-3.5-Sonnet</t>
  </si>
  <si>
    <t>Mistral-Large-2411</t>
  </si>
  <si>
    <t>o1-2024-12-17</t>
  </si>
  <si>
    <t>doubao-1.5-pro-32k</t>
  </si>
  <si>
    <t>Qwen2.5-max</t>
  </si>
  <si>
    <t>hunyuan_turbos_10T_0208bus_o1_exp31</t>
  </si>
  <si>
    <t>turboSpeed_grpo53_step800_rl</t>
  </si>
  <si>
    <t>ToolACE-8B</t>
  </si>
  <si>
    <t>xLAM-7b-fc-r</t>
  </si>
  <si>
    <t>watt-tool-70b</t>
  </si>
  <si>
    <t>watt-tool-8b</t>
  </si>
  <si>
    <t>Hammer2.1-7b</t>
  </si>
  <si>
    <t>Hammer2.1-3b</t>
  </si>
  <si>
    <t>Hammer2.1-1.5b</t>
  </si>
  <si>
    <t>Hammer2.1-0.5b</t>
  </si>
  <si>
    <t>fcm3.1</t>
  </si>
  <si>
    <t>在跑</t>
  </si>
  <si>
    <t>Llama-3.3-70B-Instruct</t>
  </si>
  <si>
    <t>Llama-3.3-8B-Instruct</t>
  </si>
  <si>
    <t>Llama-3.3-3B-Instruct</t>
  </si>
  <si>
    <t>Llama-3.3-1B-Instruct</t>
  </si>
  <si>
    <t>Qwen2.5-72b-Instruct</t>
  </si>
  <si>
    <t>Qwen2.5-32b-Instruct</t>
  </si>
  <si>
    <t>Qwen2.5-14b-Instruct</t>
  </si>
  <si>
    <t>Qwen2.5-7b-Instruct</t>
  </si>
  <si>
    <t>Qwen2.5-3b-Instruct</t>
  </si>
  <si>
    <t>Qwen2.5-1.5b-Instruct</t>
  </si>
  <si>
    <t>Qwen2.5-0.5b-Instruct</t>
  </si>
  <si>
    <t>GLM-4-9B-Chat</t>
  </si>
  <si>
    <t>DeepSeek-R1</t>
  </si>
  <si>
    <t>DeepSeek-V3</t>
  </si>
  <si>
    <t>实验</t>
  </si>
  <si>
    <t>0311_onlyaction_toolcall_epoch5</t>
  </si>
  <si>
    <t>0311_onlyaction_general_epoch5</t>
  </si>
  <si>
    <r>
      <rPr>
        <rFont val="微软雅黑"/>
        <b val="true"/>
        <i val="false"/>
        <strike val="false"/>
        <color rgb="FF000000"/>
        <sz val="10"/>
        <u val="none"/>
      </rPr>
      <t xml:space="preserve"> 最优路径率</t>
    </r>
    <r>
      <rPr>
        <rFont val="微软雅黑"/>
        <b val="true"/>
        <i val="false"/>
        <strike val="false"/>
        <color rgb="FF000000"/>
        <sz val="10"/>
        <u val="none"/>
      </rPr>
      <t xml:space="preserve">
(纯并)</t>
    </r>
  </si>
  <si>
    <r>
      <rPr>
        <rFont val="微软雅黑"/>
        <b val="false"/>
        <i val="false"/>
        <strike val="false"/>
        <color rgb="FF267EF0"/>
        <sz val="10"/>
        <u/>
      </rPr>
      <t>https://gorilla.cs.berkeley.edu/leaderboard.html</t>
    </r>
  </si>
  <si>
    <r>
      <rPr>
        <rFont val="微软雅黑"/>
        <b val="false"/>
        <i val="false"/>
        <strike val="false"/>
        <color rgb="FF267EF0"/>
        <sz val="10"/>
        <u/>
      </rPr>
      <t>https://gist.github.com/K-Mistele/820d142b4dab50bd8ef0c7bbcad4515c</t>
    </r>
  </si>
  <si>
    <r>
      <rPr>
        <rFont val="微软雅黑"/>
        <b val="false"/>
        <i val="false"/>
        <strike val="false"/>
        <color rgb="FF267EF0"/>
        <sz val="10"/>
        <u/>
      </rPr>
      <t>https://www.llama.com/docs/model-cards-and-prompt-formats/llama3_1/#built-in-python-based-tool-calling</t>
    </r>
  </si>
  <si>
    <r>
      <rPr>
        <rFont val="微软雅黑"/>
        <b val="false"/>
        <i val="false"/>
        <strike val="false"/>
        <color rgb="FF175CEB"/>
        <sz val="10"/>
        <u/>
      </rPr>
      <t>https://qwen.readthedocs.io/en/latest/framework/function_call.html#the-example-case</t>
    </r>
  </si>
  <si>
    <r>
      <rPr>
        <rFont val="微软雅黑"/>
        <b val="false"/>
        <i val="false"/>
        <strike val="false"/>
        <color rgb="FF267EF0"/>
        <sz val="10"/>
        <u/>
      </rPr>
      <t>https://huggingface.co/watt-ai/watt-tool-70B</t>
    </r>
  </si>
  <si>
    <r>
      <rPr>
        <rFont val="微软雅黑"/>
        <b val="false"/>
        <i val="false"/>
        <strike val="false"/>
        <color rgb="FF267EF0"/>
        <sz val="10"/>
        <u/>
      </rPr>
      <t>https://huggingface.co/meetkai/functionary-medium-v3.1</t>
    </r>
  </si>
  <si>
    <r>
      <rPr>
        <rFont val="微软雅黑"/>
        <b val="false"/>
        <i val="false"/>
        <strike val="false"/>
        <color rgb="FF267EF0"/>
        <sz val="10"/>
        <u/>
      </rPr>
      <t>https://huggingface.co/MadeAgents/Hammer2.1-7b</t>
    </r>
  </si>
  <si>
    <r>
      <rPr>
        <rFont val="微软雅黑"/>
        <b val="false"/>
        <i val="false"/>
        <strike val="true"/>
        <color rgb="FF267EF0"/>
        <sz val="10"/>
        <u/>
      </rPr>
      <t>https://huggingface.co/microsoft/Phi-3-mini-128k-instruct/discussions/15</t>
    </r>
  </si>
  <si>
    <r>
      <rPr>
        <rFont val="微软雅黑"/>
        <b val="false"/>
        <i val="false"/>
        <strike val="false"/>
        <color rgb="FF267EF0"/>
        <sz val="10"/>
      </rPr>
      <t>1202_hunyuan_1491</t>
    </r>
  </si>
  <si>
    <r>
      <rPr>
        <rFont val="微软雅黑"/>
        <b val="false"/>
        <i val="false"/>
        <strike val="false"/>
        <color rgb="FF267EF0"/>
        <sz val="10"/>
      </rPr>
      <t>error_cnt_3</t>
    </r>
  </si>
</sst>
</file>

<file path=xl/styles.xml><?xml version="1.0" encoding="utf-8"?>
<styleSheet xmlns="http://schemas.openxmlformats.org/spreadsheetml/2006/main">
  <numFmts count="1">
    <numFmt numFmtId="300" formatCode="0.00%"/>
  </numFmts>
  <fonts count="13">
    <font>
      <name val="等线"/>
      <charset val="134"/>
      <family val="2"/>
      <color theme="1"/>
      <sz val="10"/>
      <scheme val="minor"/>
    </font>
    <font>
      <name val="等线"/>
      <color rgb="FF175CEB"/>
      <sz val="10"/>
      <u/>
      <scheme val="minor"/>
    </font>
    <font>
      <b val="true"/>
    </font>
    <font>
      <b val="true"/>
    </font>
    <font>
      <sz val="9"/>
    </font>
    <font>
      <sz val="9"/>
    </font>
    <font>
      <strike val="true"/>
    </font>
    <font>
      <sz val="9"/>
    </font>
    <font/>
    <font>
      <sz val="10"/>
    </font>
    <font>
      <strike val="true"/>
      <sz val="9"/>
    </font>
    <font>
      <strike val="true"/>
      <sz val="9"/>
    </font>
    <font>
      <name val="宋体"/>
      <sz val="11"/>
    </font>
  </fonts>
  <fills count="20">
    <fill>
      <patternFill patternType="none"/>
    </fill>
    <fill>
      <patternFill patternType="gray125"/>
    </fill>
    <fill>
      <patternFill patternType="solid">
        <fgColor rgb="FFEAFAF1"/>
        <bgColor auto="true"/>
      </patternFill>
    </fill>
    <fill>
      <patternFill patternType="solid">
        <fgColor rgb="FFE5F6FF"/>
        <bgColor auto="true"/>
      </patternFill>
    </fill>
    <fill>
      <patternFill patternType="solid">
        <fgColor rgb="FFFFF9E3"/>
        <bgColor auto="true"/>
      </patternFill>
    </fill>
    <fill>
      <patternFill patternType="solid">
        <fgColor rgb="FFFFF3EB"/>
        <bgColor auto="true"/>
      </patternFill>
    </fill>
    <fill>
      <patternFill patternType="solid">
        <fgColor rgb="FFFDEBFF"/>
        <bgColor auto="true"/>
      </patternFill>
    </fill>
    <fill>
      <patternFill patternType="solid">
        <fgColor rgb="FFFFE9E8"/>
        <bgColor auto="true"/>
      </patternFill>
    </fill>
    <fill>
      <patternFill patternType="solid">
        <fgColor rgb="FFFADAFC"/>
        <bgColor auto="true"/>
      </patternFill>
    </fill>
    <fill>
      <patternFill patternType="solid">
        <fgColor rgb="FFF2C7FF"/>
        <bgColor auto="true"/>
      </patternFill>
    </fill>
    <fill>
      <patternFill patternType="solid">
        <fgColor rgb="FFFFC9C7"/>
        <bgColor auto="true"/>
      </patternFill>
    </fill>
    <fill>
      <patternFill patternType="solid">
        <fgColor rgb="FFFF9C99"/>
        <bgColor auto="true"/>
      </patternFill>
    </fill>
    <fill>
      <patternFill patternType="solid">
        <fgColor rgb="FFD8D8D8"/>
        <bgColor auto="true"/>
      </patternFill>
    </fill>
    <fill>
      <patternFill patternType="solid">
        <fgColor rgb="FFFFFFFF"/>
        <bgColor auto="true"/>
      </patternFill>
    </fill>
    <fill>
      <patternFill patternType="solid">
        <fgColor rgb="FFFFFF00"/>
        <bgColor auto="true"/>
      </patternFill>
    </fill>
    <fill>
      <patternFill patternType="solid">
        <fgColor rgb="FF8CDDFA"/>
        <bgColor auto="true"/>
      </patternFill>
    </fill>
    <fill>
      <patternFill patternType="solid">
        <fgColor rgb="FFBFBFBF"/>
        <bgColor auto="true"/>
      </patternFill>
    </fill>
    <fill>
      <patternFill patternType="solid">
        <fgColor rgb="FFFFEEAD"/>
        <bgColor auto="true"/>
      </patternFill>
    </fill>
    <fill>
      <patternFill patternType="solid">
        <fgColor rgb="FFC7ECFF"/>
        <bgColor auto="true"/>
      </patternFill>
    </fill>
    <fill>
      <patternFill/>
    </fill>
  </fills>
  <borders count="39">
    <border>
      <left/>
      <right/>
      <top/>
      <bottom/>
      <diagonal/>
    </border>
    <border/>
    <border/>
    <border/>
    <border/>
    <border/>
    <border/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24272E"/>
      </left>
      <top style="medium">
        <color rgb="FF24272E"/>
      </top>
    </border>
    <border>
      <top style="medium">
        <color rgb="FF24272E"/>
      </top>
    </border>
    <border>
      <right style="medium">
        <color rgb="FF24272E"/>
      </right>
      <top style="medium">
        <color rgb="FF24272E"/>
      </top>
    </border>
    <border>
      <left style="medium">
        <color rgb="FF24272E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24272E"/>
      </right>
    </border>
    <border>
      <left style="medium">
        <color rgb="FF24272E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24272E"/>
      </right>
      <top style="thin">
        <color rgb="FF000000"/>
      </top>
    </border>
    <border>
      <left style="medium">
        <color rgb="FF24272E"/>
      </left>
      <right style="thin">
        <color rgb="FF24272E"/>
      </right>
      <top style="thin">
        <color rgb="FF24272E"/>
      </top>
      <bottom style="thin">
        <color rgb="FF24272E"/>
      </bottom>
    </border>
    <border>
      <left style="thin">
        <color rgb="FF24272E"/>
      </left>
      <right style="thin">
        <color rgb="FF24272E"/>
      </right>
      <top style="thin">
        <color rgb="FF24272E"/>
      </top>
      <bottom style="thin">
        <color rgb="FF24272E"/>
      </bottom>
    </border>
    <border>
      <left style="thin">
        <color rgb="FF24272E"/>
      </left>
      <right style="medium">
        <color rgb="FF24272E"/>
      </right>
      <top style="thin">
        <color rgb="FF24272E"/>
      </top>
      <bottom style="thin">
        <color rgb="FF24272E"/>
      </bottom>
    </border>
    <border>
      <left style="medium">
        <color rgb="FF24272E"/>
      </left>
      <right style="thin">
        <color rgb="FF24272E"/>
      </right>
      <top style="thin">
        <color rgb="FF24272E"/>
      </top>
      <bottom style="medium">
        <color rgb="FF24272E"/>
      </bottom>
    </border>
    <border>
      <left style="thin">
        <color rgb="FF24272E"/>
      </left>
      <right style="thin">
        <color rgb="FF24272E"/>
      </right>
      <top style="thin">
        <color rgb="FF24272E"/>
      </top>
      <bottom style="medium">
        <color rgb="FF24272E"/>
      </bottom>
    </border>
    <border>
      <left style="thin">
        <color rgb="FF24272E"/>
      </left>
      <right style="medium">
        <color rgb="FF24272E"/>
      </right>
      <top style="thin">
        <color rgb="FF24272E"/>
      </top>
      <bottom style="medium">
        <color rgb="FF24272E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>
    <xf numFmtId="0" fontId="0" fillId="0" borderId="0" xfId="0">
      <alignment vertical="center"/>
    </xf>
  </cellStyleXfs>
  <cellXfs count="161">
    <xf numFmtId="0" fontId="0" fillId="0" borderId="0" xfId="0">
      <alignment vertical="center"/>
    </xf>
    <xf numFmtId="0" fontId="1" fillId="0" borderId="0" xfId="0">
      <alignment vertical="center"/>
    </xf>
    <xf fontId="0" fillId="0" borderId="0" xfId="0">
      <alignment vertical="center"/>
    </xf>
    <xf fontId="2" fillId="2" borderId="1" xfId="0">
      <alignment horizontal="center" vertical="center"/>
    </xf>
    <xf numFmtId="10" fontId="2" fillId="2" borderId="1" xfId="0">
      <alignment horizontal="center" vertical="center"/>
    </xf>
    <xf numFmtId="10" fontId="2" fillId="3" borderId="2" xfId="0">
      <alignment horizontal="center" vertical="center"/>
    </xf>
    <xf fontId="0" fillId="0" borderId="3" xfId="0">
      <alignment vertical="center"/>
    </xf>
    <xf fontId="0" fillId="0" borderId="4" xfId="0">
      <alignment vertical="center"/>
    </xf>
    <xf numFmtId="10" fontId="2" fillId="4" borderId="2" xfId="0">
      <alignment horizontal="center" vertical="center"/>
    </xf>
    <xf fontId="2" fillId="5" borderId="2" xfId="0">
      <alignment horizontal="center" vertical="center"/>
    </xf>
    <xf fontId="2" fillId="5" borderId="1" xfId="0">
      <alignment horizontal="center" vertical="center" wrapText="true"/>
    </xf>
    <xf fontId="2" fillId="5" borderId="1" xfId="0">
      <alignment horizontal="center" vertical="center"/>
    </xf>
    <xf fontId="2" fillId="6" borderId="2" xfId="0">
      <alignment horizontal="center" vertical="center"/>
    </xf>
    <xf fontId="2" fillId="6" borderId="0" xfId="0">
      <alignment horizontal="center" vertical="center"/>
    </xf>
    <xf fontId="3" fillId="7" borderId="2" xfId="0">
      <alignment horizontal="center" vertical="center"/>
    </xf>
    <xf fontId="2" fillId="7" borderId="2" xfId="0">
      <alignment horizontal="center" vertical="center"/>
    </xf>
    <xf fontId="0" fillId="0" borderId="2" xfId="0">
      <alignment vertical="center"/>
    </xf>
    <xf fontId="2" fillId="2" borderId="0" xfId="0">
      <alignment horizontal="center" vertical="center"/>
    </xf>
    <xf numFmtId="10" fontId="2" fillId="2" borderId="0" xfId="0">
      <alignment horizontal="center" vertical="center"/>
    </xf>
    <xf numFmtId="10" fontId="2" fillId="3" borderId="1" xfId="0">
      <alignment horizontal="center" vertical="center"/>
    </xf>
    <xf numFmtId="49" fontId="2" fillId="4" borderId="1" xfId="0">
      <alignment horizontal="center" vertical="center"/>
    </xf>
    <xf fontId="0" fillId="0" borderId="5" xfId="0">
      <alignment vertical="center"/>
    </xf>
    <xf fontId="2" fillId="8" borderId="6" xfId="0">
      <alignment horizontal="center" vertical="center" wrapText="true"/>
    </xf>
    <xf fontId="0" fillId="0" borderId="6" xfId="0">
      <alignment vertical="center"/>
    </xf>
    <xf fontId="2" fillId="8" borderId="0" xfId="0">
      <alignment horizontal="center" vertical="center" wrapText="true"/>
    </xf>
    <xf fontId="2" fillId="9" borderId="2" xfId="0">
      <alignment horizontal="center" vertical="center" wrapText="true"/>
    </xf>
    <xf fontId="3" fillId="10" borderId="1" xfId="0">
      <alignment horizontal="center" vertical="center"/>
    </xf>
    <xf fontId="2" fillId="11" borderId="2" xfId="0">
      <alignment horizontal="center" vertical="center"/>
    </xf>
    <xf fontId="2" fillId="10" borderId="1" xfId="0">
      <alignment horizontal="center" vertical="center"/>
    </xf>
    <xf fontId="0" fillId="0" borderId="7" xfId="0">
      <alignment vertical="center"/>
    </xf>
    <xf fontId="2" fillId="9" borderId="0" xfId="0">
      <alignment horizontal="center" vertical="center" wrapText="true"/>
    </xf>
    <xf fontId="4" fillId="0" borderId="0" xfId="0">
      <alignment vertical="center" wrapText="false"/>
    </xf>
    <xf fontId="5" fillId="0" borderId="0" xfId="0">
      <alignment vertical="center" wrapText="false"/>
    </xf>
    <xf numFmtId="10" fontId="0" fillId="0" borderId="0" xfId="0">
      <alignment vertical="center"/>
    </xf>
    <xf fontId="2" fillId="0" borderId="0" xfId="0">
      <alignment horizontal="center" vertical="center"/>
    </xf>
    <xf fontId="0" fillId="0" borderId="0" xfId="0">
      <alignment vertical="center" wrapText="true"/>
    </xf>
    <xf fontId="6" fillId="0" borderId="0" xfId="0">
      <alignment vertical="center"/>
    </xf>
    <xf fontId="7" fillId="0" borderId="0" xfId="0">
      <alignment vertical="center" wrapText="false"/>
    </xf>
    <xf numFmtId="10" fontId="6" fillId="0" borderId="0" xfId="0">
      <alignment vertical="center"/>
    </xf>
    <xf fontId="0" fillId="12" borderId="2" xfId="0">
      <alignment vertical="center"/>
    </xf>
    <xf fontId="5" fillId="12" borderId="0" xfId="0">
      <alignment vertical="center" wrapText="false"/>
    </xf>
    <xf fontId="5" fillId="0" borderId="3" xfId="0">
      <alignment vertical="center" wrapText="false"/>
    </xf>
    <xf fontId="0" fillId="12" borderId="0" xfId="0">
      <alignment vertical="center"/>
    </xf>
    <xf numFmtId="10" fontId="0" fillId="0" borderId="0" xfId="0">
      <alignment vertical="center" wrapText="true"/>
    </xf>
    <xf numFmtId="10" fontId="0" fillId="0" borderId="0" xfId="0">
      <alignment/>
    </xf>
    <xf fontId="5" fillId="12" borderId="3" xfId="0">
      <alignment vertical="center" wrapText="false"/>
    </xf>
    <xf fontId="0" fillId="12" borderId="3" xfId="0">
      <alignment vertical="center"/>
    </xf>
    <xf fontId="0" fillId="13" borderId="3" xfId="0">
      <alignment vertical="center"/>
    </xf>
    <xf fontId="0" fillId="13" borderId="4" xfId="0">
      <alignment vertical="center"/>
    </xf>
    <xf fontId="0" fillId="14" borderId="2" xfId="0">
      <alignment vertical="center"/>
    </xf>
    <xf fontId="0" fillId="14" borderId="0" xfId="0">
      <alignment vertical="center"/>
    </xf>
    <xf numFmtId="0" fontId="0" fillId="0" borderId="0" xfId="0">
      <alignment vertical="center"/>
    </xf>
    <xf fontId="0" fillId="0" borderId="8" xfId="0">
      <alignment horizontal="center" vertical="center"/>
    </xf>
    <xf fontId="0" fillId="0" borderId="9" xfId="0">
      <alignment vertical="center"/>
    </xf>
    <xf fontId="0" fillId="0" borderId="9" xfId="0">
      <alignment horizontal="center" vertical="center"/>
    </xf>
    <xf fontId="0" fillId="0" borderId="9" xfId="0">
      <alignment horizontal="left" vertical="center"/>
    </xf>
    <xf fontId="0" fillId="0" borderId="0" xfId="0">
      <alignment horizontal="center" vertical="center"/>
    </xf>
    <xf fontId="4" fillId="0" borderId="0" xfId="0">
      <alignment horizontal="center" vertical="center" wrapText="false"/>
    </xf>
    <xf fontId="2" fillId="2" borderId="10" xfId="0">
      <alignment horizontal="center" vertical="center"/>
    </xf>
    <xf fontId="0" fillId="0" borderId="11" xfId="0">
      <alignment vertical="center"/>
    </xf>
    <xf fontId="0" fillId="0" borderId="12" xfId="0">
      <alignment vertical="center"/>
    </xf>
    <xf fontId="2" fillId="3" borderId="8" xfId="0">
      <alignment horizontal="center" vertical="center"/>
    </xf>
    <xf fontId="2" fillId="4" borderId="10" xfId="0">
      <alignment horizontal="center" vertical="center"/>
    </xf>
    <xf fontId="2" fillId="4" borderId="9" xfId="0">
      <alignment horizontal="center" vertical="center"/>
    </xf>
    <xf numFmtId="0" fontId="2" fillId="3" borderId="9" xfId="0">
      <alignment horizontal="center" vertical="center"/>
    </xf>
    <xf numFmtId="10" fontId="8" fillId="0" borderId="9" xfId="0">
      <alignment horizontal="center" vertical="center"/>
    </xf>
    <xf numFmtId="10" fontId="0" fillId="0" borderId="9" xfId="0">
      <alignment horizontal="center" vertical="center"/>
    </xf>
    <xf fontId="2" fillId="3" borderId="9" xfId="0">
      <alignment horizontal="center" vertical="center"/>
    </xf>
    <xf fontId="2" fillId="2" borderId="13" xfId="0">
      <alignment horizontal="center" vertical="center"/>
    </xf>
    <xf fontId="0" fillId="0" borderId="14" xfId="0">
      <alignment vertical="center"/>
    </xf>
    <xf fontId="0" fillId="0" borderId="15" xfId="0">
      <alignment vertical="center"/>
    </xf>
    <xf fontId="2" fillId="4" borderId="13" xfId="0">
      <alignment horizontal="center" vertical="center"/>
    </xf>
    <xf fontId="0" fillId="0" borderId="0" xfId="0">
      <alignment/>
    </xf>
    <xf numFmtId="0" fontId="0" fillId="0" borderId="0" xfId="0">
      <alignment vertical="center" wrapText="true"/>
    </xf>
    <xf fontId="2" fillId="15" borderId="1" xfId="0">
      <alignment horizontal="left" vertical="center"/>
    </xf>
    <xf fontId="2" fillId="15" borderId="1" xfId="0">
      <alignment horizontal="center" vertical="center"/>
    </xf>
    <xf fontId="2" fillId="15" borderId="2" xfId="0">
      <alignment horizontal="center" vertical="center"/>
    </xf>
    <xf fontId="2" fillId="15" borderId="6" xfId="0">
      <alignment horizontal="center" vertical="center"/>
    </xf>
    <xf fontId="2" fillId="15" borderId="0" xfId="0">
      <alignment horizontal="center" vertical="center"/>
    </xf>
    <xf fontId="0" fillId="0" borderId="1" xfId="0">
      <alignment vertical="center"/>
    </xf>
    <xf fontId="0" fillId="0" borderId="0" xfId="0">
      <alignment horizontal="left" vertical="center"/>
    </xf>
    <xf numFmtId="9" fontId="0" fillId="0" borderId="0" xfId="0">
      <alignment horizontal="center" vertical="center"/>
    </xf>
    <xf fontId="9" fillId="0" borderId="0" xfId="0">
      <alignment vertical="center"/>
    </xf>
    <xf fontId="5" fillId="0" borderId="0" xfId="0">
      <alignment horizontal="center" vertical="center" wrapText="false"/>
    </xf>
    <xf numFmtId="0" fontId="6" fillId="0" borderId="0" xfId="0">
      <alignment vertical="center"/>
    </xf>
    <xf fontId="10" fillId="0" borderId="0" xfId="0">
      <alignment vertical="center" wrapText="false"/>
    </xf>
    <xf fontId="10" fillId="0" borderId="0" xfId="0">
      <alignment horizontal="center" vertical="center" wrapText="false"/>
    </xf>
    <xf fontId="6" fillId="0" borderId="1" xfId="0">
      <alignment vertical="center"/>
    </xf>
    <xf fontId="11" fillId="0" borderId="0" xfId="0">
      <alignment vertical="center" wrapText="false"/>
    </xf>
    <xf fontId="11" fillId="0" borderId="0" xfId="0">
      <alignment horizontal="center" vertical="center" wrapText="false"/>
    </xf>
    <xf fontId="12" fillId="15" borderId="0" xfId="0">
      <alignment horizontal="center" vertical="center"/>
    </xf>
    <xf fontId="12" fillId="0" borderId="0" xfId="0">
      <alignment horizontal="center" vertical="center"/>
    </xf>
    <xf numFmtId="10" fontId="12" fillId="0" borderId="0" xfId="0">
      <alignment horizontal="center" vertical="center"/>
    </xf>
    <xf fontId="12" fillId="13" borderId="0" xfId="0">
      <alignment horizontal="center" vertical="center"/>
    </xf>
    <xf fontId="0" fillId="16" borderId="16" xfId="0">
      <alignment vertical="center"/>
    </xf>
    <xf fontId="0" fillId="0" borderId="17" xfId="0">
      <alignment vertical="center"/>
    </xf>
    <xf fontId="0" fillId="0" borderId="18" xfId="0">
      <alignment vertical="center"/>
    </xf>
    <xf fontId="0" fillId="17" borderId="19" xfId="0">
      <alignment horizontal="center" vertical="center"/>
    </xf>
    <xf fontId="0" fillId="17" borderId="9" xfId="0">
      <alignment horizontal="center" vertical="center" wrapText="true"/>
    </xf>
    <xf fontId="0" fillId="0" borderId="6" xfId="0">
      <alignment horizontal="center" vertical="center"/>
    </xf>
    <xf fontId="0" fillId="0" borderId="20" xfId="0">
      <alignment vertical="center"/>
    </xf>
    <xf numFmtId="0" fontId="0" fillId="18" borderId="19" xfId="0">
      <alignment horizontal="center" vertical="center" wrapText="true"/>
    </xf>
    <xf numFmtId="0" fontId="0" fillId="0" borderId="9" xfId="0">
      <alignment horizontal="center" vertical="center" wrapText="true"/>
    </xf>
    <xf numFmtId="0" fontId="0" fillId="18" borderId="21" xfId="0">
      <alignment horizontal="center" vertical="center" wrapText="true"/>
    </xf>
    <xf numFmtId="0" fontId="0" fillId="0" borderId="22" xfId="0">
      <alignment horizontal="center" vertical="center" wrapText="true"/>
    </xf>
    <xf fontId="0" fillId="17" borderId="21" xfId="0">
      <alignment horizontal="center" vertical="center" wrapText="true"/>
    </xf>
    <xf fontId="0" fillId="17" borderId="22" xfId="0">
      <alignment horizontal="center" vertical="center" wrapText="true"/>
    </xf>
    <xf fontId="0" fillId="17" borderId="23" xfId="0">
      <alignment horizontal="center" vertical="center" wrapText="true"/>
    </xf>
    <xf fontId="0" fillId="17" borderId="24" xfId="0">
      <alignment horizontal="center" vertical="center" wrapText="true"/>
    </xf>
    <xf numFmtId="0" fontId="0" fillId="18" borderId="25" xfId="0">
      <alignment horizontal="center" vertical="center" wrapText="true"/>
    </xf>
    <xf numFmtId="0" fontId="0" fillId="0" borderId="26" xfId="0">
      <alignment horizontal="center" vertical="center" wrapText="true"/>
    </xf>
    <xf numFmtId="0" fontId="0" fillId="0" borderId="27" xfId="0">
      <alignment horizontal="center" vertical="center" wrapText="true"/>
    </xf>
    <xf numFmtId="10" fontId="0" fillId="0" borderId="27" xfId="0">
      <alignment horizontal="center" vertical="center" wrapText="true"/>
    </xf>
    <xf numFmtId="0" fontId="0" fillId="18" borderId="28" xfId="0">
      <alignment horizontal="center" vertical="center" wrapText="true"/>
    </xf>
    <xf numFmtId="0" fontId="0" fillId="0" borderId="29" xfId="0">
      <alignment horizontal="center" vertical="center" wrapText="true"/>
    </xf>
    <xf numFmtId="10" fontId="0" fillId="0" borderId="30" xfId="0">
      <alignment horizontal="center" vertical="center" wrapText="true"/>
    </xf>
    <xf fontId="0" fillId="0" borderId="31" xfId="0">
      <alignment vertical="center" wrapText="true"/>
    </xf>
    <xf fontId="0" fillId="0" borderId="32" xfId="0">
      <alignment vertical="center"/>
    </xf>
    <xf fontId="0" fillId="0" borderId="33" xfId="0">
      <alignment vertical="center"/>
    </xf>
    <xf fontId="0" fillId="0" borderId="34" xfId="0">
      <alignment vertical="center"/>
    </xf>
    <xf fontId="0" fillId="0" borderId="35" xfId="0">
      <alignment vertical="center"/>
    </xf>
    <xf fontId="0" fillId="0" borderId="36" xfId="0">
      <alignment vertical="center"/>
    </xf>
    <xf fontId="0" fillId="0" borderId="37" xfId="0">
      <alignment vertical="center"/>
    </xf>
    <xf fontId="0" fillId="0" borderId="38" xfId="0">
      <alignment vertical="center"/>
    </xf>
    <xf fontId="2" fillId="2" borderId="6" xfId="0">
      <alignment horizontal="center" vertical="center"/>
    </xf>
    <xf numFmtId="10" fontId="2" fillId="2" borderId="6" xfId="0">
      <alignment horizontal="center" vertical="center"/>
    </xf>
    <xf numFmtId="10" fontId="2" fillId="3" borderId="6" xfId="0">
      <alignment horizontal="center" vertical="center"/>
    </xf>
    <xf numFmtId="10" fontId="2" fillId="4" borderId="6" xfId="0">
      <alignment horizontal="center" vertical="center"/>
    </xf>
    <xf numFmtId="10" fontId="2" fillId="3" borderId="0" xfId="0">
      <alignment horizontal="center" vertical="center"/>
    </xf>
    <xf numFmtId="49" fontId="2" fillId="4" borderId="0" xfId="0">
      <alignment horizontal="center" vertical="center"/>
    </xf>
    <xf fontId="2" fillId="5" borderId="6" xfId="0">
      <alignment horizontal="center" vertical="center"/>
    </xf>
    <xf fontId="2" fillId="5" borderId="6" xfId="0">
      <alignment horizontal="center" vertical="center" wrapText="true"/>
    </xf>
    <xf fontId="2" fillId="6" borderId="6" xfId="0">
      <alignment horizontal="center" vertical="center"/>
    </xf>
    <xf numFmtId="10" fontId="2" fillId="7" borderId="2" xfId="0">
      <alignment horizontal="center" vertical="center"/>
    </xf>
    <xf numFmtId="10" fontId="2" fillId="7" borderId="6" xfId="0">
      <alignment horizontal="center" vertical="center"/>
    </xf>
    <xf numFmtId="49" fontId="2" fillId="4" borderId="6" xfId="0">
      <alignment horizontal="center" vertical="center"/>
    </xf>
    <xf fontId="2" fillId="9" borderId="6" xfId="0">
      <alignment horizontal="center" vertical="center" wrapText="true"/>
    </xf>
    <xf numFmtId="10" fontId="2" fillId="10" borderId="1" xfId="0">
      <alignment horizontal="center" vertical="center"/>
    </xf>
    <xf numFmtId="10" fontId="2" fillId="11" borderId="6" xfId="0">
      <alignment horizontal="center" vertical="center"/>
    </xf>
    <xf numFmtId="10" fontId="2" fillId="10" borderId="6" xfId="0">
      <alignment horizontal="center" vertical="center"/>
    </xf>
    <xf fontId="0" fillId="12" borderId="6" xfId="0">
      <alignment vertical="center"/>
    </xf>
    <xf fontId="4" fillId="12" borderId="0" xfId="0">
      <alignment vertical="center" wrapText="false"/>
    </xf>
    <xf fontId="4" fillId="12" borderId="6" xfId="0">
      <alignment vertical="center" wrapText="false"/>
    </xf>
    <xf numFmtId="10" fontId="0" fillId="12" borderId="6" xfId="0">
      <alignment vertical="center"/>
    </xf>
    <xf fontId="0" fillId="13" borderId="6" xfId="0">
      <alignment vertical="center"/>
    </xf>
    <xf fontId="0" fillId="14" borderId="6" xfId="0">
      <alignment vertical="center"/>
    </xf>
    <xf numFmtId="10" fontId="0" fillId="12" borderId="0" xfId="0">
      <alignment vertical="center"/>
    </xf>
    <xf fontId="0" fillId="13" borderId="0" xfId="0">
      <alignment vertical="center"/>
    </xf>
    <xf fontId="8" fillId="0" borderId="0" xfId="0">
      <alignment vertical="center"/>
    </xf>
    <xf fontId="0" fillId="19" borderId="0" xfId="0">
      <alignment vertical="center"/>
    </xf>
    <xf fontId="0" fillId="3" borderId="0" xfId="0">
      <alignment vertical="center"/>
    </xf>
    <xf numFmtId="10" fontId="8" fillId="0" borderId="0" xfId="0">
      <alignment vertical="center" wrapText="true"/>
    </xf>
    <xf fontId="8" fillId="19" borderId="0" xfId="0">
      <alignment vertical="center"/>
    </xf>
    <xf numFmtId="10" fontId="8" fillId="19" borderId="0" xfId="0">
      <alignment vertical="center" wrapText="true"/>
    </xf>
    <xf numFmtId="10" fontId="8" fillId="0" borderId="0" xfId="0">
      <alignment vertical="center"/>
    </xf>
    <xf fontId="4" fillId="14" borderId="0" xfId="0">
      <alignment vertical="center" wrapText="false"/>
    </xf>
    <xf numFmtId="10" fontId="0" fillId="19" borderId="0" xfId="0">
      <alignment vertical="center" wrapText="true"/>
    </xf>
    <xf numFmtId="0" fontId="0" fillId="19" borderId="0" xfId="0">
      <alignment vertical="center"/>
    </xf>
    <xf numFmtId="10" fontId="0" fillId="0" borderId="0" xfId="0">
      <alignment vertical="center"/>
    </xf>
    <xf fontId="6" fillId="12" borderId="0" xfId="0">
      <alignment vertical="center"/>
    </xf>
    <xf numFmtId="300" fontId="0" fillId="0" borderId="0" xfId="0">
      <alignment vertical="center"/>
    </xf>
  </cellXfs>
  <dxfs count="3">
    <dxf>
      <font>
        <b val="false"/>
        <i val="false"/>
        <strike val="false"/>
        <color rgb="FFDE322C"/>
      </font>
      <fill>
        <patternFill>
          <bgColor rgb="FFFFE9E8"/>
        </patternFill>
      </fill>
    </dxf>
    <dxf>
      <font>
        <b val="false"/>
        <i val="false"/>
        <strike val="false"/>
        <color rgb="FF00AA5B"/>
      </font>
      <fill>
        <patternFill>
          <bgColor rgb="FFEEFCDE"/>
        </patternFill>
      </fill>
    </dxf>
    <dxf>
      <font>
        <color rgb="FFDE322C"/>
      </font>
      <fill>
        <patternFill>
          <bgColor rgb="FFFFE9E8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13" Type="http://schemas.openxmlformats.org/officeDocument/2006/relationships/worksheet" Target="worksheets/sheet11.xml" /><Relationship Id="rId10" Type="http://schemas.openxmlformats.org/officeDocument/2006/relationships/worksheet" Target="worksheets/sheet8.xml" /><Relationship Id="rId0" Type="http://schemas.openxmlformats.org/officeDocument/2006/relationships/sharedStrings" Target="sharedStrings.xml" /><Relationship Id="rId14" Type="http://schemas.openxmlformats.org/officeDocument/2006/relationships/worksheet" Target="worksheets/sheet12.xml" /><Relationship Id="rId11" Type="http://schemas.openxmlformats.org/officeDocument/2006/relationships/worksheet" Target="worksheets/sheet9.xml" /><Relationship Id="rId6" Type="http://schemas.openxmlformats.org/officeDocument/2006/relationships/worksheet" Target="worksheets/sheet4.xml" /><Relationship Id="rId8" Type="http://schemas.openxmlformats.org/officeDocument/2006/relationships/worksheet" Target="worksheets/sheet6.xml" /><Relationship Id="rId1" Type="http://schemas.openxmlformats.org/officeDocument/2006/relationships/theme" Target="theme/theme1.xml" /><Relationship Id="rId12" Type="http://schemas.openxmlformats.org/officeDocument/2006/relationships/worksheet" Target="worksheets/sheet10.xml" /><Relationship Id="rId3" Type="http://schemas.openxmlformats.org/officeDocument/2006/relationships/worksheet" Target="worksheets/sheet1.xml" /><Relationship Id="rId15" Type="http://schemas.openxmlformats.org/officeDocument/2006/relationships/worksheet" Target="worksheets/sheet13.xml" /><Relationship Id="rId16" Type="http://schemas.openxmlformats.org/officeDocument/2006/relationships/worksheet" Target="worksheets/sheet14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5" Type="http://schemas.openxmlformats.org/officeDocument/2006/relationships/worksheet" Target="worksheets/sheet3.xml" /><Relationship Id="rId7" Type="http://schemas.openxmlformats.org/officeDocument/2006/relationships/worksheet" Target="worksheets/sheet5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ColorStyle" Target="colors1.xml" /><Relationship Id="rId0" Type="http://schemas.microsoft.com/office/2011/relationships/chartStyle" Target="style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ColorStyle" Target="colors2.xml" /><Relationship Id="rId0" Type="http://schemas.microsoft.com/office/2011/relationships/chartStyle" Target="style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ColorStyle" Target="colors3.xml" /><Relationship Id="rId0" Type="http://schemas.microsoft.com/office/2011/relationships/chartStyle" Target="style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ColorStyle" Target="colors4.xml" /><Relationship Id="rId0" Type="http://schemas.microsoft.com/office/2011/relationships/chartStyle" Target="style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ColorStyle" Target="colors5.xml" /><Relationship Id="rId0" Type="http://schemas.microsoft.com/office/2011/relationships/chartStyle" Target="style5.xml" /></Relationships>
</file>

<file path=xl/charts/chart1.xml><?xml version="1.0" encoding="utf-8"?>
<c:chartSpace xmlns:c="http://schemas.openxmlformats.org/drawingml/2006/chart" xmlns:a="http://schemas.openxmlformats.org/drawingml/2006/main">
  <c:chart>
    <c:plotArea>
      <c:pieChart>
        <c:ser>
          <c:idx val="0"/>
          <c:order val="0"/>
          <c:tx>
            <c:strRef>
              <c:f>'多轮类型分布'!$B$1</c:f>
            </c:strRef>
          </c:tx>
          <c:spPr/>
          <c:dPt>
            <c:idx val="0"/>
            <c:spPr>
              <a:solidFill>
                <a:schemeClr val="accent1"/>
              </a:solidFill>
            </c:spPr>
          </c:dPt>
          <c:dPt>
            <c:idx val="1"/>
            <c:spPr>
              <a:solidFill>
                <a:schemeClr val="accent2"/>
              </a:solidFill>
            </c:spPr>
          </c:dPt>
          <c:dPt>
            <c:idx val="2"/>
            <c:spPr>
              <a:solidFill>
                <a:schemeClr val="accent3"/>
              </a:solidFill>
            </c:spPr>
          </c:dPt>
          <c:dLbls>
            <c:numFmt formatCode="General" sourceLinked="true"/>
            <c:txPr>
              <a:bodyPr/>
              <a:p>
                <a:pPr>
                  <a:defRPr b="false" i="false">
                    <a:solidFill>
                      <a:srgbClr val="000000"/>
                    </a:solidFill>
                  </a:defRPr>
                </a:pPr>
              </a:p>
            </c:txPr>
            <c:dLblPos val="outEnd"/>
            <c:showLegendKey val="false"/>
            <c:showVal val="false"/>
            <c:showCatName/>
            <c:showSerName/>
            <c:showPercent/>
            <c:showBubbleSize val="false"/>
            <c:separator>,</c:separator>
            <c:showLeaderLines/>
          </c:dLbls>
          <c:cat>
            <c:strRef>
              <c:f>'多轮类型分布'!$A$2:$A$4</c:f>
            </c:strRef>
          </c:cat>
          <c:val>
            <c:numRef>
              <c:f>'多轮类型分布'!$B$2:$B$4</c:f>
            </c:numRef>
          </c:val>
        </c:ser>
        <c:dLbls>
          <c:numFmt formatCode="General" sourceLinked="true"/>
          <c:txPr>
            <a:bodyPr/>
            <a:p>
              <a:pPr>
                <a:defRPr b="false" i="false">
                  <a:solidFill>
                    <a:srgbClr val="000000"/>
                  </a:solidFill>
                </a:defRPr>
              </a:pPr>
            </a:p>
          </c:txPr>
          <c:dLblPos val="outEnd"/>
          <c:showLegendKey val="false"/>
          <c:showVal val="false"/>
          <c:showCatName/>
          <c:showSerName/>
          <c:showPercent/>
          <c:showBubbleSize val="false"/>
          <c:separator>,</c:separator>
          <c:showLeaderLines/>
        </c:dLbls>
      </c:pieChart>
    </c:plotArea>
    <c:legend>
      <c:legendPos val="b"/>
      <c:overlay val="false"/>
      <c:txPr>
        <a:bodyPr/>
        <a:p>
          <a:pPr>
            <a:defRPr b="false" i="false"/>
          </a:pPr>
        </a:p>
      </c:txPr>
    </c:legend>
    <c:plotVisOnly/>
    <c:dispBlanksAs val="zero"/>
  </c:chart>
  <c:spPr>
    <a:solidFill>
      <a:schemeClr val="bg1"/>
    </a:solidFill>
  </c:spPr>
</c:chartSpace>
</file>

<file path=xl/charts/chart2.xml><?xml version="1.0" encoding="utf-8"?>
<c:chartSpace xmlns:c="http://schemas.openxmlformats.org/drawingml/2006/chart" xmlns:a="http://schemas.openxmlformats.org/drawingml/2006/main">
  <c:chart>
    <c:plotArea>
      <c:pieChart>
        <c:ser>
          <c:idx val="0"/>
          <c:order val="0"/>
          <c:tx>
            <c:strRef>
              <c:f>'动作类型分布'!$B$10</c:f>
            </c:strRef>
          </c:tx>
          <c:spPr/>
          <c:dPt>
            <c:idx val="0"/>
            <c:spPr>
              <a:solidFill>
                <a:schemeClr val="accent1"/>
              </a:solidFill>
            </c:spPr>
          </c:dPt>
          <c:dPt>
            <c:idx val="1"/>
            <c:spPr>
              <a:solidFill>
                <a:schemeClr val="accent2"/>
              </a:solidFill>
            </c:spPr>
          </c:dPt>
          <c:dPt>
            <c:idx val="2"/>
            <c:spPr>
              <a:solidFill>
                <a:schemeClr val="accent3"/>
              </a:solidFill>
            </c:spPr>
          </c:dPt>
          <c:dPt>
            <c:idx val="3"/>
            <c:spPr>
              <a:solidFill>
                <a:schemeClr val="accent4"/>
              </a:solidFill>
            </c:spPr>
          </c:dPt>
          <c:dPt>
            <c:idx val="4"/>
            <c:spPr>
              <a:solidFill>
                <a:schemeClr val="accent5"/>
              </a:solidFill>
            </c:spPr>
          </c:dPt>
          <c:dPt>
            <c:idx val="5"/>
            <c:spPr>
              <a:solidFill>
                <a:schemeClr val="accent6"/>
              </a:solidFill>
            </c:spPr>
          </c:dPt>
          <c:dLbls>
            <c:numFmt formatCode="General" sourceLinked="true"/>
            <c:txPr>
              <a:bodyPr/>
              <a:p>
                <a:pPr>
                  <a:defRPr b="false" i="false">
                    <a:solidFill>
                      <a:srgbClr val="000000"/>
                    </a:solidFill>
                  </a:defRPr>
                </a:pPr>
              </a:p>
            </c:txPr>
            <c:dLblPos val="outEnd"/>
            <c:showLegendKey val="false"/>
            <c:showVal val="false"/>
            <c:showCatName/>
            <c:showSerName/>
            <c:showPercent/>
            <c:showBubbleSize val="false"/>
            <c:separator>,</c:separator>
            <c:showLeaderLines/>
          </c:dLbls>
          <c:cat>
            <c:strRef>
              <c:f>'动作类型分布'!$A$11:$A$16</c:f>
            </c:strRef>
          </c:cat>
          <c:val>
            <c:numRef>
              <c:f>'动作类型分布'!$B$11:$B$16</c:f>
            </c:numRef>
          </c:val>
        </c:ser>
        <c:dLbls>
          <c:numFmt formatCode="General" sourceLinked="true"/>
          <c:txPr>
            <a:bodyPr/>
            <a:p>
              <a:pPr>
                <a:defRPr b="false" i="false">
                  <a:solidFill>
                    <a:srgbClr val="000000"/>
                  </a:solidFill>
                </a:defRPr>
              </a:pPr>
            </a:p>
          </c:txPr>
          <c:dLblPos val="outEnd"/>
          <c:showLegendKey val="false"/>
          <c:showVal val="false"/>
          <c:showCatName/>
          <c:showSerName/>
          <c:showPercent/>
          <c:showBubbleSize val="false"/>
          <c:separator>,</c:separator>
          <c:showLeaderLines/>
        </c:dLbls>
      </c:pieChart>
    </c:plotArea>
    <c:legend>
      <c:legendPos val="b"/>
      <c:overlay val="false"/>
      <c:txPr>
        <a:bodyPr/>
        <a:p>
          <a:pPr>
            <a:defRPr b="false" i="false"/>
          </a:pPr>
        </a:p>
      </c:txPr>
    </c:legend>
    <c:plotVisOnly/>
    <c:dispBlanksAs val="zero"/>
  </c:chart>
  <c:spPr>
    <a:solidFill>
      <a:schemeClr val="bg1"/>
    </a:solidFill>
  </c:spPr>
</c:chartSpace>
</file>

<file path=xl/charts/chart3.xml><?xml version="1.0" encoding="utf-8"?>
<c:chartSpace xmlns:c="http://schemas.openxmlformats.org/drawingml/2006/chart" xmlns:a="http://schemas.openxmlformats.org/drawingml/2006/main">
  <c:chart>
    <c:plotArea>
      <c:pieChart>
        <c:ser>
          <c:idx val="0"/>
          <c:order val="0"/>
          <c:tx>
            <c:strRef>
              <c:f>'参数分布'!$B$1</c:f>
            </c:strRef>
          </c:tx>
          <c:spPr/>
          <c:dPt>
            <c:idx val="0"/>
            <c:spPr>
              <a:solidFill>
                <a:schemeClr val="accent1"/>
              </a:solidFill>
            </c:spPr>
          </c:dPt>
          <c:dPt>
            <c:idx val="1"/>
            <c:spPr>
              <a:solidFill>
                <a:schemeClr val="accent2"/>
              </a:solidFill>
            </c:spPr>
          </c:dPt>
          <c:dPt>
            <c:idx val="2"/>
            <c:spPr>
              <a:solidFill>
                <a:schemeClr val="accent3"/>
              </a:solidFill>
            </c:spPr>
          </c:dPt>
          <c:dPt>
            <c:idx val="3"/>
            <c:spPr>
              <a:solidFill>
                <a:schemeClr val="accent4"/>
              </a:solidFill>
            </c:spPr>
          </c:dPt>
          <c:dPt>
            <c:idx val="4"/>
            <c:spPr>
              <a:solidFill>
                <a:schemeClr val="accent5"/>
              </a:solidFill>
            </c:spPr>
          </c:dPt>
          <c:dPt>
            <c:idx val="5"/>
            <c:spPr>
              <a:solidFill>
                <a:schemeClr val="accent6"/>
              </a:solidFill>
            </c:spPr>
          </c:dPt>
          <c:dPt>
            <c:idx val="6"/>
            <c:spPr>
              <a:solidFill>
                <a:schemeClr val="accent1">
                  <a:lumMod val="60000"/>
                </a:schemeClr>
              </a:solidFill>
            </c:spPr>
          </c:dPt>
          <c:dPt>
            <c:idx val="7"/>
            <c:spPr>
              <a:solidFill>
                <a:schemeClr val="accent2">
                  <a:lumMod val="60000"/>
                </a:schemeClr>
              </a:solidFill>
            </c:spPr>
          </c:dPt>
          <c:dPt>
            <c:idx val="8"/>
            <c:spPr>
              <a:solidFill>
                <a:schemeClr val="accent3">
                  <a:lumMod val="60000"/>
                </a:schemeClr>
              </a:solidFill>
            </c:spPr>
          </c:dPt>
          <c:dPt>
            <c:idx val="9"/>
            <c:spPr>
              <a:solidFill>
                <a:schemeClr val="accent4">
                  <a:lumMod val="60000"/>
                </a:schemeClr>
              </a:solidFill>
            </c:spPr>
          </c:dPt>
          <c:dPt>
            <c:idx val="10"/>
            <c:spPr>
              <a:solidFill>
                <a:schemeClr val="accent5">
                  <a:lumMod val="60000"/>
                </a:schemeClr>
              </a:solidFill>
            </c:spPr>
          </c:dPt>
          <c:cat>
            <c:strRef>
              <c:f>'参数分布'!$A$2:$A$12</c:f>
            </c:strRef>
          </c:cat>
          <c:val>
            <c:numRef>
              <c:f>'参数分布'!$B$2:$B$12</c:f>
            </c:numRef>
          </c:val>
        </c:ser>
      </c:pieChart>
    </c:plotArea>
    <c:legend>
      <c:legendPos val="b"/>
      <c:overlay val="false"/>
    </c:legend>
    <c:plotVisOnly/>
    <c:dispBlanksAs val="zero"/>
  </c:chart>
  <c:spPr>
    <a:solidFill>
      <a:schemeClr val="bg1"/>
    </a:solidFill>
  </c:spPr>
</c:chartSpace>
</file>

<file path=xl/charts/chart4.xml><?xml version="1.0" encoding="utf-8"?>
<c:chartSpace xmlns:c="http://schemas.openxmlformats.org/drawingml/2006/chart" xmlns:a="http://schemas.openxmlformats.org/drawingml/2006/main">
  <c:chart>
    <c:plotArea>
      <c:barChart>
        <c:barDir val="col"/>
        <c:grouping val="standard"/>
        <c:ser>
          <c:idx val="0"/>
          <c:order val="0"/>
          <c:tx>
            <c:strRef>
              <c:f>'工具分布'!$B$1</c:f>
            </c:strRef>
          </c:tx>
          <c:spPr>
            <a:solidFill>
              <a:schemeClr val="accent1"/>
            </a:solidFill>
          </c:spPr>
          <c:dLbls>
            <c:numFmt formatCode="General" sourceLinked="true"/>
            <c:txPr>
              <a:bodyPr/>
              <a:p>
                <a:pPr>
                  <a:defRPr b="false" i="false">
                    <a:solidFill>
                      <a:srgbClr val="000000"/>
                    </a:solidFill>
                  </a:defRPr>
                </a:pPr>
              </a:p>
            </c:txPr>
            <c:dLblPos val="ctr"/>
            <c:showLegendKey val="false"/>
            <c:showVal val="false"/>
            <c:showCatName val="false"/>
            <c:showSerName val="false"/>
            <c:showPercent val="false"/>
            <c:showBubbleSize val="false"/>
            <c:separator>,</c:separator>
            <c:showLeaderLines val="false"/>
          </c:dLbls>
          <c:cat>
            <c:strRef>
              <c:f>'工具分布'!$A$2:$A$51</c:f>
            </c:strRef>
          </c:cat>
          <c:val>
            <c:numRef>
              <c:f>'工具分布'!$B$2:$B$51</c:f>
            </c:numRef>
          </c:val>
        </c:ser>
        <c:dLbls>
          <c:numFmt formatCode="General" sourceLinked="true"/>
          <c:txPr>
            <a:bodyPr/>
            <a:p>
              <a:pPr>
                <a:defRPr b="false" i="false">
                  <a:solidFill>
                    <a:srgbClr val="000000"/>
                  </a:solidFill>
                </a:defRPr>
              </a:pPr>
            </a:p>
          </c:txPr>
          <c:dLblPos val="ctr"/>
          <c:showLegendKey val="false"/>
          <c:showVal val="false"/>
          <c:showCatName val="false"/>
          <c:showSerName val="false"/>
          <c:showPercent val="false"/>
          <c:showBubbleSize val="false"/>
          <c:separator>,</c:separator>
          <c:showLeaderLines val="false"/>
        </c:dLbls>
        <c:overlap val="-27"/>
        <c:axId val="234563532"/>
        <c:axId val="535896999"/>
      </c:barChart>
      <c:catAx>
        <c:axId val="234563532"/>
        <c:scaling/>
        <c:delete val="false"/>
        <c:axPos val="b"/>
        <c:title>
          <c:tx>
            <c:rich>
              <a:bodyPr/>
              <a:p>
                <a:pPr>
                  <a:defRPr b="false" i="false"/>
                </a:pPr>
                <a:r>
                  <a:t>Category</a:t>
                </a:r>
              </a:p>
            </c:rich>
          </c:tx>
        </c:title>
        <c:numFmt formatCode="General" sourceLinked="true"/>
        <c:majorTickMark/>
        <c:txPr>
          <a:bodyPr/>
          <a:p>
            <a:pPr>
              <a:defRPr b="false" i="false"/>
            </a:pPr>
          </a:p>
        </c:txPr>
        <c:crossAx val="535896999"/>
      </c:catAx>
      <c:valAx>
        <c:axId val="535896999"/>
        <c:scaling/>
        <c:delete val="false"/>
        <c:axPos val="l"/>
        <c:title>
          <c:tx>
            <c:rich>
              <a:bodyPr/>
              <a:p>
                <a:pPr>
                  <a:defRPr b="false" i="false"/>
                </a:pPr>
                <a:r>
                  <a:t>Number</a:t>
                </a:r>
              </a:p>
            </c:rich>
          </c:tx>
        </c:title>
        <c:numFmt formatCode="General" sourceLinked="true"/>
        <c:majorTickMark/>
        <c:txPr>
          <a:bodyPr/>
          <a:p>
            <a:pPr>
              <a:defRPr b="false" i="false"/>
            </a:pPr>
          </a:p>
        </c:txPr>
        <c:crossAx val="234563532"/>
      </c:valAx>
    </c:plotArea>
    <c:legend>
      <c:legendPos val="b"/>
      <c:overlay val="false"/>
      <c:txPr>
        <a:bodyPr/>
        <a:p>
          <a:pPr>
            <a:defRPr b="false" i="false"/>
          </a:pPr>
        </a:p>
      </c:txPr>
    </c:legend>
    <c:plotVisOnly/>
    <c:dispBlanksAs val="zero"/>
  </c:chart>
  <c:spPr>
    <a:solidFill>
      <a:schemeClr val="bg1"/>
    </a:solidFill>
  </c:spPr>
</c:chartSpace>
</file>

<file path=xl/charts/chart5.xml><?xml version="1.0" encoding="utf-8"?>
<c:chartSpace xmlns:c="http://schemas.openxmlformats.org/drawingml/2006/chart" xmlns:a="http://schemas.openxmlformats.org/drawingml/2006/main">
  <c:chart>
    <c:plotArea>
      <c:lineChart>
        <c:grouping/>
        <c:ser>
          <c:idx val="0"/>
          <c:order val="0"/>
          <c:tx>
            <c:strRef>
              <c:f>'messages length'!$C$1</c:f>
            </c:strRef>
          </c:tx>
          <c:spPr>
            <a:ln>
              <a:solidFill>
                <a:schemeClr val="accent1"/>
              </a:solidFill>
              <a:prstDash/>
              <a:headEnd/>
              <a:tailEnd/>
            </a:ln>
          </c:spPr>
          <c:marker>
            <c:symbol val="none"/>
          </c:marker>
          <c:cat>
            <c:strRef>
              <c:f>'messages length'!$A$2:$A$16</c:f>
            </c:strRef>
          </c:cat>
          <c:val>
            <c:numRef>
              <c:f>'messages length'!$C$2:$C$16</c:f>
            </c:numRef>
          </c:val>
          <c:smooth val="false"/>
        </c:ser>
        <c:ser>
          <c:idx val="1"/>
          <c:order val="1"/>
          <c:tx>
            <c:strRef>
              <c:f>'messages length'!$D$1</c:f>
            </c:strRef>
          </c:tx>
          <c:spPr>
            <a:ln>
              <a:solidFill>
                <a:schemeClr val="accent2"/>
              </a:solidFill>
              <a:prstDash/>
              <a:headEnd/>
              <a:tailEnd/>
            </a:ln>
          </c:spPr>
          <c:marker>
            <c:symbol val="none"/>
          </c:marker>
          <c:cat>
            <c:strRef>
              <c:f>'messages length'!$A$2:$A$16</c:f>
            </c:strRef>
          </c:cat>
          <c:val>
            <c:numRef>
              <c:f>'messages length'!$D$2:$D$16</c:f>
            </c:numRef>
          </c:val>
          <c:smooth val="false"/>
        </c:ser>
        <c:ser>
          <c:idx val="2"/>
          <c:order val="2"/>
          <c:tx>
            <c:strRef>
              <c:f>'messages length'!$E$1</c:f>
            </c:strRef>
          </c:tx>
          <c:spPr>
            <a:ln>
              <a:solidFill>
                <a:schemeClr val="accent3"/>
              </a:solidFill>
              <a:prstDash/>
              <a:headEnd/>
              <a:tailEnd/>
            </a:ln>
          </c:spPr>
          <c:marker>
            <c:symbol val="none"/>
          </c:marker>
          <c:cat>
            <c:strRef>
              <c:f>'messages length'!$A$2:$A$16</c:f>
            </c:strRef>
          </c:cat>
          <c:val>
            <c:numRef>
              <c:f>'messages length'!$E$2:$E$16</c:f>
            </c:numRef>
          </c:val>
          <c:smooth val="false"/>
        </c:ser>
        <c:ser>
          <c:idx val="3"/>
          <c:order val="3"/>
          <c:tx>
            <c:strRef>
              <c:f>'messages length'!$F$1</c:f>
            </c:strRef>
          </c:tx>
          <c:spPr>
            <a:ln>
              <a:solidFill>
                <a:schemeClr val="accent4"/>
              </a:solidFill>
              <a:prstDash/>
              <a:headEnd/>
              <a:tailEnd/>
            </a:ln>
          </c:spPr>
          <c:marker>
            <c:symbol val="none"/>
          </c:marker>
          <c:cat>
            <c:strRef>
              <c:f>'messages length'!$A$2:$A$16</c:f>
            </c:strRef>
          </c:cat>
          <c:val>
            <c:numRef>
              <c:f>'messages length'!$F$2:$F$16</c:f>
            </c:numRef>
          </c:val>
          <c:smooth val="false"/>
        </c:ser>
        <c:ser>
          <c:idx val="4"/>
          <c:order val="4"/>
          <c:tx>
            <c:strRef>
              <c:f>'messages length'!$G$1</c:f>
            </c:strRef>
          </c:tx>
          <c:spPr>
            <a:ln>
              <a:solidFill>
                <a:schemeClr val="accent5"/>
              </a:solidFill>
              <a:prstDash/>
              <a:headEnd/>
              <a:tailEnd/>
            </a:ln>
          </c:spPr>
          <c:marker>
            <c:symbol val="none"/>
          </c:marker>
          <c:cat>
            <c:strRef>
              <c:f>'messages length'!$A$2:$A$16</c:f>
            </c:strRef>
          </c:cat>
          <c:val>
            <c:numRef>
              <c:f>'messages length'!$G$2:$G$16</c:f>
            </c:numRef>
          </c:val>
          <c:smooth val="false"/>
        </c:ser>
        <c:ser>
          <c:idx val="5"/>
          <c:order val="5"/>
          <c:tx>
            <c:strRef>
              <c:f>'messages length'!$H$1</c:f>
            </c:strRef>
          </c:tx>
          <c:spPr>
            <a:ln>
              <a:solidFill>
                <a:schemeClr val="accent6"/>
              </a:solidFill>
              <a:prstDash/>
              <a:headEnd/>
              <a:tailEnd/>
            </a:ln>
          </c:spPr>
          <c:marker>
            <c:symbol val="none"/>
          </c:marker>
          <c:cat>
            <c:strRef>
              <c:f>'messages length'!$A$2:$A$16</c:f>
            </c:strRef>
          </c:cat>
          <c:val>
            <c:numRef>
              <c:f>'messages length'!$H$2:$H$16</c:f>
            </c:numRef>
          </c:val>
          <c:smooth val="false"/>
        </c:ser>
        <c:axId val="645836644"/>
        <c:axId val="562685639"/>
      </c:lineChart>
      <c:catAx>
        <c:axId val="645836644"/>
        <c:scaling/>
        <c:delete val="false"/>
        <c:axPos val="b"/>
        <c:numFmt formatCode="General" sourceLinked="true"/>
        <c:majorTickMark/>
        <c:txPr>
          <a:bodyPr/>
          <a:p>
            <a:pPr>
              <a:defRPr b="false" i="false"/>
            </a:pPr>
          </a:p>
        </c:txPr>
        <c:crossAx val="562685639"/>
      </c:catAx>
      <c:valAx>
        <c:axId val="562685639"/>
        <c:scaling/>
        <c:delete val="false"/>
        <c:axPos val="l"/>
        <c:numFmt formatCode="General" sourceLinked="true"/>
        <c:majorTickMark/>
        <c:txPr>
          <a:bodyPr/>
          <a:p>
            <a:pPr>
              <a:defRPr b="false" i="false"/>
            </a:pPr>
          </a:p>
        </c:txPr>
        <c:crossAx val="645836644"/>
      </c:valAx>
    </c:plotArea>
    <c:legend>
      <c:legendPos val="b"/>
      <c:overlay val="false"/>
      <c:txPr>
        <a:bodyPr/>
        <a:p>
          <a:pPr>
            <a:defRPr b="false" i="false"/>
          </a:pPr>
        </a:p>
      </c:txPr>
    </c:legend>
    <c:plotVisOnly/>
    <c:dispBlanksAs val="zero"/>
  </c:chart>
  <c:spPr>
    <a:solidFill>
      <a:schemeClr val="bg1"/>
    </a:solidFill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true" vertOverflow="clip" horzOverflow="clip" vert="horz" wrap="square" lIns="36576" tIns="18288" rIns="36576" bIns="18288" anchor="ctr" anchorCtr="true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false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true" vertOverflow="clip" horzOverflow="clip" vert="horz" wrap="square" lIns="36576" tIns="18288" rIns="36576" bIns="18288" anchor="ctr" anchorCtr="true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false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true" vertOverflow="clip" horzOverflow="clip" vert="horz" wrap="square" lIns="36576" tIns="18288" rIns="36576" bIns="18288" anchor="ctr" anchorCtr="true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false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true" vertOverflow="clip" horzOverflow="clip" vert="horz" wrap="square" lIns="36576" tIns="18288" rIns="36576" bIns="18288" anchor="ctr" anchorCtr="true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false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true" vertOverflow="clip" horzOverflow="clip" vert="horz" wrap="square" lIns="36576" tIns="18288" rIns="36576" bIns="18288" anchor="ctr" anchorCtr="true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false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0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0" Type="http://schemas.openxmlformats.org/officeDocument/2006/relationships/chart" Target="../charts/chart2.xml" /></Relationships>
</file>

<file path=xl/drawings/_rels/drawing3.xml.rels><?xml version="1.0" encoding="UTF-8" standalone="yes"?><Relationships xmlns="http://schemas.openxmlformats.org/package/2006/relationships"><Relationship Id="rId0" Type="http://schemas.openxmlformats.org/officeDocument/2006/relationships/chart" Target="../charts/chart3.xml" /></Relationships>
</file>

<file path=xl/drawings/_rels/drawing4.xml.rels><?xml version="1.0" encoding="UTF-8" standalone="yes"?><Relationships xmlns="http://schemas.openxmlformats.org/package/2006/relationships"><Relationship Id="rId0" Type="http://schemas.openxmlformats.org/officeDocument/2006/relationships/chart" Target="../charts/chart4.xml" /></Relationships>
</file>

<file path=xl/drawings/_rels/drawing5.xml.rels><?xml version="1.0" encoding="UTF-8" standalone="yes"?><Relationships xmlns="http://schemas.openxmlformats.org/package/2006/relationships"><Relationship Id="rId0" Type="http://schemas.openxmlformats.org/officeDocument/2006/relationships/chart" Target="../charts/chart5.xml" /></Relationships>
</file>

<file path=xl/drawings/_rels/drawing6.xml.rels><?xml version="1.0" encoding="UTF-8" standalone="yes"?><Relationships xmlns="http://schemas.openxmlformats.org/package/2006/relationships"><Relationship Id="rId0" Type="http://schemas.openxmlformats.org/officeDocument/2006/relationships/image" Target="media/image1.png" /></Relationships>
</file>

<file path=xl/drawings/drawing1.xml><?xml version="1.0" encoding="utf-8"?>
<xdr:wsDr xmlns:a="http://schemas.openxmlformats.org/drawingml/2006/main" xmlns:c="http://schemas.openxmlformats.org/drawingml/2006/chart" xmlns:r="http://schemas.openxmlformats.org/officeDocument/2006/relationships" xmlns:xdr="http://schemas.openxmlformats.org/drawingml/2006/spreadsheetDrawing">
  <xdr:oneCellAnchor>
    <xdr:from>
      <xdr:col>8</xdr:col>
      <xdr:colOff>161925</xdr:colOff>
      <xdr:row>13</xdr:row>
      <xdr:rowOff>142875</xdr:rowOff>
    </xdr:from>
    <xdr:ext cx="5524500" cy="3810000"/>
    <xdr:graphicFrame>
      <xdr:nvGraphicFramePr>
        <xdr:cNvPr id="1" name=""/>
        <xdr:cNvGraphicFramePr/>
      </xdr:nvGraphicFramePr>
      <xdr:xfrm/>
      <a:graphic>
        <a:graphicData uri="http://schemas.openxmlformats.org/drawingml/2006/chart">
          <c:chart r:id="rId0"/>
        </a:graphicData>
      </a:graphic>
    </xdr:graphicFrame>
    <xdr:clientData/>
  </xdr:oneCellAnchor>
</xdr:wsDr>
</file>

<file path=xl/drawings/drawing2.xml><?xml version="1.0" encoding="utf-8"?>
<xdr:wsDr xmlns:a="http://schemas.openxmlformats.org/drawingml/2006/main" xmlns:c="http://schemas.openxmlformats.org/drawingml/2006/chart" xmlns:r="http://schemas.openxmlformats.org/officeDocument/2006/relationships" xmlns:xdr="http://schemas.openxmlformats.org/drawingml/2006/spreadsheetDrawing">
  <xdr:oneCellAnchor>
    <xdr:from>
      <xdr:col>5</xdr:col>
      <xdr:colOff>204331</xdr:colOff>
      <xdr:row>9</xdr:row>
      <xdr:rowOff>115202</xdr:rowOff>
    </xdr:from>
    <xdr:ext cx="10458450" cy="7200900"/>
    <xdr:graphicFrame>
      <xdr:nvGraphicFramePr>
        <xdr:cNvPr id="2" name=""/>
        <xdr:cNvGraphicFramePr/>
      </xdr:nvGraphicFramePr>
      <xdr:xfrm/>
      <a:graphic>
        <a:graphicData uri="http://schemas.openxmlformats.org/drawingml/2006/chart">
          <c:chart r:id="rId0"/>
        </a:graphicData>
      </a:graphic>
    </xdr:graphicFrame>
    <xdr:clientData/>
  </xdr:oneCellAnchor>
</xdr:wsDr>
</file>

<file path=xl/drawings/drawing3.xml><?xml version="1.0" encoding="utf-8"?>
<xdr:wsDr xmlns:a="http://schemas.openxmlformats.org/drawingml/2006/main" xmlns:c="http://schemas.openxmlformats.org/drawingml/2006/chart" xmlns:r="http://schemas.openxmlformats.org/officeDocument/2006/relationships" xmlns:xdr="http://schemas.openxmlformats.org/drawingml/2006/spreadsheetDrawing">
  <xdr:oneCellAnchor>
    <xdr:from>
      <xdr:col>7</xdr:col>
      <xdr:colOff>152400</xdr:colOff>
      <xdr:row>13</xdr:row>
      <xdr:rowOff>142875</xdr:rowOff>
    </xdr:from>
    <xdr:ext cx="5524500" cy="3810000"/>
    <xdr:graphicFrame>
      <xdr:nvGraphicFramePr>
        <xdr:cNvPr id="3" name=""/>
        <xdr:cNvGraphicFramePr/>
      </xdr:nvGraphicFramePr>
      <xdr:xfrm/>
      <a:graphic>
        <a:graphicData uri="http://schemas.openxmlformats.org/drawingml/2006/chart">
          <c:chart r:id="rId0"/>
        </a:graphicData>
      </a:graphic>
    </xdr:graphicFrame>
    <xdr:clientData/>
  </xdr:oneCellAnchor>
</xdr:wsDr>
</file>

<file path=xl/drawings/drawing4.xml><?xml version="1.0" encoding="utf-8"?>
<xdr:wsDr xmlns:a="http://schemas.openxmlformats.org/drawingml/2006/main" xmlns:c="http://schemas.openxmlformats.org/drawingml/2006/chart" xmlns:r="http://schemas.openxmlformats.org/officeDocument/2006/relationships" xmlns:xdr="http://schemas.openxmlformats.org/drawingml/2006/spreadsheetDrawing">
  <xdr:oneCellAnchor>
    <xdr:from>
      <xdr:col>2</xdr:col>
      <xdr:colOff>809272</xdr:colOff>
      <xdr:row>18</xdr:row>
      <xdr:rowOff>215547</xdr:rowOff>
    </xdr:from>
    <xdr:ext cx="6734175" cy="4638675"/>
    <xdr:graphicFrame>
      <xdr:nvGraphicFramePr>
        <xdr:cNvPr id="4" name=""/>
        <xdr:cNvGraphicFramePr/>
      </xdr:nvGraphicFramePr>
      <xdr:xfrm/>
      <a:graphic>
        <a:graphicData uri="http://schemas.openxmlformats.org/drawingml/2006/chart">
          <c:chart r:id="rId0"/>
        </a:graphicData>
      </a:graphic>
    </xdr:graphicFrame>
    <xdr:clientData/>
  </xdr:oneCellAnchor>
</xdr:wsDr>
</file>

<file path=xl/drawings/drawing5.xml><?xml version="1.0" encoding="utf-8"?>
<xdr:wsDr xmlns:a="http://schemas.openxmlformats.org/drawingml/2006/main" xmlns:c="http://schemas.openxmlformats.org/drawingml/2006/chart" xmlns:r="http://schemas.openxmlformats.org/officeDocument/2006/relationships" xmlns:xdr="http://schemas.openxmlformats.org/drawingml/2006/spreadsheetDrawing">
  <xdr:oneCellAnchor>
    <xdr:from>
      <xdr:col>0</xdr:col>
      <xdr:colOff>0</xdr:colOff>
      <xdr:row>16</xdr:row>
      <xdr:rowOff>114300</xdr:rowOff>
    </xdr:from>
    <xdr:ext cx="7134225" cy="4924425"/>
    <xdr:graphicFrame>
      <xdr:nvGraphicFramePr>
        <xdr:cNvPr id="5" name=""/>
        <xdr:cNvGraphicFramePr/>
      </xdr:nvGraphicFramePr>
      <xdr:xfrm/>
      <a:graphic>
        <a:graphicData uri="http://schemas.openxmlformats.org/drawingml/2006/chart">
          <c:chart r:id="rId0"/>
        </a:graphicData>
      </a:graphic>
    </xdr:graphicFrame>
    <xdr:clientData/>
  </xdr:oneCellAnchor>
</xdr:wsDr>
</file>

<file path=xl/drawings/drawing6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33</xdr:col>
      <xdr:colOff>0</xdr:colOff>
      <xdr:row>3</xdr:row>
      <xdr:rowOff>9381</xdr:rowOff>
    </xdr:from>
    <xdr:ext cx="581025" cy="184437"/>
    <xdr:pic>
      <xdr:nvPicPr>
        <xdr:cNvPr id="6" name="6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thm15="http://schemas.microsoft.com/office/thememl/2012/main"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4.xml" /></Relationships>
</file>

<file path=xl/worksheets/_rels/sheet2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3.xml" /></Relationships>
</file>

<file path=xl/worksheets/_rels/sheet4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2.xml" /></Relationships>
</file>

<file path=xl/worksheets/_rels/sheet5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1.xml" 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hyperlink" Target="https://doc.weixin.qq.com/sheet/e3_AAwATwaJACkJol2ZdW6ScaFV1Z6uX?scode=AJEAIQdfAAo2Oc9AIpAAwATwaJACk&amp;tab=izolql" TargetMode="External"/><Relationship Id="rId0" Type="http://schemas.openxmlformats.org/officeDocument/2006/relationships/hyperlink" Target="https://doc.weixin.qq.com/sheet/e3_AAwATwaJACkVtl45YbpTTeM3C1k8g?scode=AJEAIQdfAAow5io222AAwATwaJACk&amp;tab=yrb139&amp;journal_source=chat&amp;version=4.1.31.6017&amp;platform=win" TargetMode="External"/></Relationships>
</file>

<file path=xl/worksheets/_rels/sheet8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6.xml" /></Relationships>
</file>

<file path=xl/worksheets/_rels/sheet10.xml.rels><?xml version="1.0" encoding="UTF-8" standalone="yes"?><Relationships xmlns="http://schemas.openxmlformats.org/package/2006/relationships"><Relationship Id="rId7" Type="http://schemas.openxmlformats.org/officeDocument/2006/relationships/hyperlink" Target="https://huggingface.co/microsoft/Phi-3-mini-128k-instruct/discussions/15" TargetMode="External"/><Relationship Id="rId6" Type="http://schemas.openxmlformats.org/officeDocument/2006/relationships/hyperlink" Target="https://huggingface.co/MadeAgents/Hammer2.1-7b" TargetMode="External"/><Relationship Id="rId1" Type="http://schemas.openxmlformats.org/officeDocument/2006/relationships/hyperlink" Target="https://gist.github.com/K-Mistele/820d142b4dab50bd8ef0c7bbcad4515c" TargetMode="External"/><Relationship Id="rId0" Type="http://schemas.openxmlformats.org/officeDocument/2006/relationships/hyperlink" Target="https://gorilla.cs.berkeley.edu/leaderboard.html" TargetMode="External"/><Relationship Id="rId2" Type="http://schemas.openxmlformats.org/officeDocument/2006/relationships/hyperlink" Target="https://www.llama.com/docs/model-cards-and-prompt-formats/llama3_1/#built-in-python-based-tool-calling" TargetMode="External"/><Relationship Id="rId3" Type="http://schemas.openxmlformats.org/officeDocument/2006/relationships/hyperlink" Target="https://qwen.readthedocs.io/en/latest/framework/function_call.html#the-example-case" TargetMode="External"/><Relationship Id="rId4" Type="http://schemas.openxmlformats.org/officeDocument/2006/relationships/hyperlink" Target="https://huggingface.co/watt-ai/watt-tool-70B" TargetMode="External"/><Relationship Id="rId5" Type="http://schemas.openxmlformats.org/officeDocument/2006/relationships/hyperlink" Target="https://huggingface.co/meetkai/functionary-medium-v3.1" TargetMode="External"/></Relationships>
</file>

<file path=xl/worksheets/_rels/sheet13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5.xml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工具分布">
    <tabColor rgb="FFFFFFFF"/>
  </sheetPr>
  <dimension ref="B51"/>
  <sheetViews>
    <sheetView showGridLines="true" workbookViewId="0"/>
  </sheetViews>
  <cols>
    <col min="1" max="1" width="23.7109" customWidth="true"/>
    <col min="2" max="2" width="17.6719" customWidth="true"/>
  </cols>
  <sheetData>
    <row r="1" spans="1:2">
      <c r="A1" s="90" t="s">
        <v>246</v>
      </c>
      <c r="B1" s="90" t="s">
        <v>105</v>
      </c>
    </row>
    <row r="2" spans="1:2">
      <c r="A2" s="91" t="s">
        <v>247</v>
      </c>
      <c r="B2" s="91">
        <v>31</v>
      </c>
    </row>
    <row r="3" spans="1:2">
      <c r="A3" s="91" t="s">
        <v>248</v>
      </c>
      <c r="B3" s="91">
        <v>30</v>
      </c>
    </row>
    <row r="4" spans="1:2">
      <c r="A4" s="91" t="s">
        <v>249</v>
      </c>
      <c r="B4" s="91">
        <v>29</v>
      </c>
    </row>
    <row r="5" spans="1:2">
      <c r="A5" s="91" t="s">
        <v>250</v>
      </c>
      <c r="B5" s="91">
        <v>27</v>
      </c>
    </row>
    <row r="6" spans="1:2">
      <c r="A6" s="91" t="s">
        <v>251</v>
      </c>
      <c r="B6" s="91">
        <v>22</v>
      </c>
    </row>
    <row r="7" spans="1:2">
      <c r="A7" s="91" t="s">
        <v>252</v>
      </c>
      <c r="B7" s="91">
        <v>18</v>
      </c>
    </row>
    <row r="8" spans="1:2">
      <c r="A8" s="91" t="s">
        <v>253</v>
      </c>
      <c r="B8" s="91">
        <v>14</v>
      </c>
    </row>
    <row r="9" spans="1:2">
      <c r="A9" s="91" t="s">
        <v>254</v>
      </c>
      <c r="B9" s="91">
        <v>13</v>
      </c>
    </row>
    <row r="10" spans="1:2">
      <c r="A10" s="91" t="s">
        <v>255</v>
      </c>
      <c r="B10" s="91">
        <v>13</v>
      </c>
    </row>
    <row r="11" spans="1:2">
      <c r="A11" s="91" t="s">
        <v>256</v>
      </c>
      <c r="B11" s="91">
        <v>12</v>
      </c>
    </row>
    <row r="12" spans="1:2">
      <c r="A12" s="91" t="s">
        <v>257</v>
      </c>
      <c r="B12" s="91">
        <v>11</v>
      </c>
    </row>
    <row r="13" spans="1:2">
      <c r="A13" s="91" t="s">
        <v>258</v>
      </c>
      <c r="B13" s="91">
        <v>11</v>
      </c>
    </row>
    <row r="14" spans="1:2">
      <c r="A14" s="91" t="s">
        <v>259</v>
      </c>
      <c r="B14" s="91">
        <v>11</v>
      </c>
    </row>
    <row r="15" spans="1:2">
      <c r="A15" s="91" t="s">
        <v>260</v>
      </c>
      <c r="B15" s="91">
        <v>9</v>
      </c>
    </row>
    <row r="16" spans="1:2">
      <c r="A16" s="91" t="s">
        <v>261</v>
      </c>
      <c r="B16" s="91">
        <v>9</v>
      </c>
    </row>
    <row r="17" spans="1:2">
      <c r="A17" s="91" t="s">
        <v>262</v>
      </c>
      <c r="B17" s="91">
        <v>9</v>
      </c>
    </row>
    <row r="18" spans="1:2">
      <c r="A18" s="91" t="s">
        <v>263</v>
      </c>
      <c r="B18" s="91">
        <v>8</v>
      </c>
    </row>
    <row r="19" spans="1:2">
      <c r="A19" s="91" t="s">
        <v>264</v>
      </c>
      <c r="B19" s="91">
        <v>8</v>
      </c>
    </row>
    <row r="20" spans="1:2">
      <c r="A20" s="91" t="s">
        <v>265</v>
      </c>
      <c r="B20" s="91">
        <v>8</v>
      </c>
    </row>
    <row r="21" spans="1:2">
      <c r="A21" s="91" t="s">
        <v>266</v>
      </c>
      <c r="B21" s="91">
        <v>8</v>
      </c>
    </row>
    <row r="22" spans="1:2">
      <c r="A22" s="91" t="s">
        <v>267</v>
      </c>
      <c r="B22" s="91">
        <v>8</v>
      </c>
    </row>
    <row r="23" spans="1:2">
      <c r="A23" s="91" t="s">
        <v>268</v>
      </c>
      <c r="B23" s="91">
        <v>8</v>
      </c>
    </row>
    <row r="24" spans="1:2">
      <c r="A24" s="91" t="s">
        <v>269</v>
      </c>
      <c r="B24" s="91">
        <v>8</v>
      </c>
    </row>
    <row r="25" spans="1:2">
      <c r="A25" s="91" t="s">
        <v>270</v>
      </c>
      <c r="B25" s="91">
        <v>7</v>
      </c>
    </row>
    <row r="26" spans="1:2">
      <c r="A26" s="91" t="s">
        <v>271</v>
      </c>
      <c r="B26" s="91">
        <v>7</v>
      </c>
    </row>
    <row r="27" spans="1:2">
      <c r="A27" s="91" t="s">
        <v>272</v>
      </c>
      <c r="B27" s="91">
        <v>6</v>
      </c>
    </row>
    <row r="28" spans="1:2">
      <c r="A28" s="91" t="s">
        <v>273</v>
      </c>
      <c r="B28" s="91">
        <v>6</v>
      </c>
    </row>
    <row r="29" spans="1:2">
      <c r="A29" s="91" t="s">
        <v>274</v>
      </c>
      <c r="B29" s="91">
        <v>6</v>
      </c>
    </row>
    <row r="30" spans="1:2">
      <c r="A30" s="91" t="s">
        <v>275</v>
      </c>
      <c r="B30" s="91">
        <v>6</v>
      </c>
    </row>
    <row r="31" spans="1:2">
      <c r="A31" s="91" t="s">
        <v>276</v>
      </c>
      <c r="B31" s="91">
        <v>6</v>
      </c>
    </row>
    <row r="32" spans="1:2">
      <c r="A32" s="91" t="s">
        <v>277</v>
      </c>
      <c r="B32" s="91">
        <v>5</v>
      </c>
    </row>
    <row r="33" spans="1:2">
      <c r="A33" s="91" t="s">
        <v>278</v>
      </c>
      <c r="B33" s="91">
        <v>5</v>
      </c>
    </row>
    <row r="34" spans="1:2">
      <c r="A34" s="91" t="s">
        <v>279</v>
      </c>
      <c r="B34" s="91">
        <v>5</v>
      </c>
    </row>
    <row r="35" spans="1:2">
      <c r="A35" s="91" t="s">
        <v>280</v>
      </c>
      <c r="B35" s="91">
        <v>5</v>
      </c>
    </row>
    <row r="36" spans="1:2">
      <c r="A36" s="91" t="s">
        <v>281</v>
      </c>
      <c r="B36" s="91">
        <v>5</v>
      </c>
    </row>
    <row r="37" spans="1:2">
      <c r="A37" s="91" t="s">
        <v>282</v>
      </c>
      <c r="B37" s="91">
        <v>4</v>
      </c>
    </row>
    <row r="38" spans="1:2">
      <c r="A38" s="91" t="s">
        <v>283</v>
      </c>
      <c r="B38" s="91">
        <v>4</v>
      </c>
    </row>
    <row r="39" spans="1:2">
      <c r="A39" s="91" t="s">
        <v>284</v>
      </c>
      <c r="B39" s="91">
        <v>3</v>
      </c>
    </row>
    <row r="40" spans="1:2">
      <c r="A40" s="91" t="s">
        <v>285</v>
      </c>
      <c r="B40" s="91">
        <v>3</v>
      </c>
    </row>
    <row r="41" spans="1:2">
      <c r="A41" s="91" t="s">
        <v>286</v>
      </c>
      <c r="B41" s="91">
        <v>3</v>
      </c>
    </row>
    <row r="42" spans="1:2">
      <c r="A42" s="91" t="s">
        <v>287</v>
      </c>
      <c r="B42" s="91">
        <v>2</v>
      </c>
    </row>
    <row r="43" spans="1:2">
      <c r="A43" s="91" t="s">
        <v>288</v>
      </c>
      <c r="B43" s="91">
        <v>2</v>
      </c>
    </row>
    <row r="44" spans="1:2">
      <c r="A44" s="91" t="s">
        <v>289</v>
      </c>
      <c r="B44" s="91">
        <v>2</v>
      </c>
    </row>
    <row r="45" spans="1:2">
      <c r="A45" s="91" t="s">
        <v>290</v>
      </c>
      <c r="B45" s="91">
        <v>2</v>
      </c>
    </row>
    <row r="46" spans="1:2">
      <c r="A46" s="91" t="s">
        <v>291</v>
      </c>
      <c r="B46" s="91">
        <v>2</v>
      </c>
    </row>
    <row r="47" spans="1:2">
      <c r="A47" s="91" t="s">
        <v>292</v>
      </c>
      <c r="B47" s="91">
        <v>1</v>
      </c>
    </row>
    <row r="48" spans="1:2">
      <c r="A48" s="91" t="s">
        <v>293</v>
      </c>
      <c r="B48" s="91">
        <v>1</v>
      </c>
    </row>
    <row r="49" spans="1:2">
      <c r="A49" s="91" t="s">
        <v>294</v>
      </c>
      <c r="B49" s="91">
        <v>1</v>
      </c>
    </row>
    <row r="50" spans="1:2">
      <c r="A50" s="91" t="s">
        <v>295</v>
      </c>
      <c r="B50" s="91">
        <v>1</v>
      </c>
    </row>
    <row r="51" spans="1:2">
      <c r="A51" s="91" t="s">
        <v>296</v>
      </c>
      <c r="B51" s="91">
        <v>1</v>
      </c>
    </row>
  </sheetData>
  <drawing r:id="rId0"/>
</worksheet>
</file>

<file path=xl/worksheets/sheet2.xml><?xml version="1.0" encoding="utf-8"?>
<worksheet xmlns:r="http://schemas.openxmlformats.org/officeDocument/2006/relationships" xmlns="http://schemas.openxmlformats.org/spreadsheetml/2006/main">
  <sheetPr codeName="参数分布">
    <tabColor rgb="FFFFFFFF"/>
  </sheetPr>
  <dimension ref="B12"/>
  <sheetViews>
    <sheetView showGridLines="true" workbookViewId="0"/>
  </sheetViews>
  <cols>
    <col min="1" max="1" width="20.9141" customWidth="true"/>
    <col min="2" max="2" width="20.1016" customWidth="true"/>
  </cols>
  <sheetData>
    <row r="1" spans="1:2">
      <c r="A1" s="90" t="s">
        <v>246</v>
      </c>
      <c r="B1" s="90" t="s">
        <v>105</v>
      </c>
    </row>
    <row r="2" spans="1:2">
      <c r="A2" s="91" t="s">
        <v>297</v>
      </c>
      <c r="B2" s="92">
        <v>0.5697</v>
      </c>
    </row>
    <row r="3" spans="1:2">
      <c r="A3" s="91" t="s">
        <v>298</v>
      </c>
      <c r="B3" s="92">
        <v>0.1599</v>
      </c>
    </row>
    <row r="4" spans="1:2">
      <c r="A4" s="91" t="s">
        <v>299</v>
      </c>
      <c r="B4" s="92">
        <v>0.0718</v>
      </c>
    </row>
    <row r="5" spans="1:2">
      <c r="A5" s="91" t="s">
        <v>300</v>
      </c>
      <c r="B5" s="92">
        <v>0.0664</v>
      </c>
    </row>
    <row r="6" spans="1:2">
      <c r="A6" s="91" t="s">
        <v>301</v>
      </c>
      <c r="B6" s="92">
        <v>0.0617</v>
      </c>
    </row>
    <row r="7" spans="1:2">
      <c r="A7" s="91" t="s">
        <v>302</v>
      </c>
      <c r="B7" s="92">
        <v>0.0283</v>
      </c>
    </row>
    <row r="8" spans="1:2">
      <c r="A8" s="91" t="s">
        <v>303</v>
      </c>
      <c r="B8" s="92">
        <v>0.0264</v>
      </c>
    </row>
    <row r="9" spans="1:2">
      <c r="A9" s="91" t="s">
        <v>304</v>
      </c>
      <c r="B9" s="92">
        <v>0.006</v>
      </c>
    </row>
    <row r="10" spans="1:2">
      <c r="A10" s="91" t="s">
        <v>305</v>
      </c>
      <c r="B10" s="92">
        <v>0.0057</v>
      </c>
    </row>
    <row r="11" spans="1:2">
      <c r="A11" s="91" t="s">
        <v>306</v>
      </c>
      <c r="B11" s="92">
        <v>0.0031</v>
      </c>
    </row>
    <row r="12" spans="1:2">
      <c r="A12" s="91" t="s">
        <v>307</v>
      </c>
      <c r="B12" s="92">
        <v>0.001</v>
      </c>
    </row>
  </sheetData>
  <drawing r:id="rId0"/>
</worksheet>
</file>

<file path=xl/worksheets/sheet3.xml><?xml version="1.0" encoding="utf-8"?>
<worksheet xmlns="http://schemas.openxmlformats.org/spreadsheetml/2006/main">
  <sheetPr codeName="长度分布">
    <tabColor rgb="FFFFFFFF"/>
  </sheetPr>
  <dimension ref="B10"/>
  <sheetViews>
    <sheetView showGridLines="true" workbookViewId="0"/>
  </sheetViews>
  <cols>
    <col min="1" max="1" width="27.1211" customWidth="true"/>
    <col min="2" max="2" width="16.1914" customWidth="true"/>
  </cols>
  <sheetData>
    <row r="1" spans="1:2">
      <c r="A1" s="90" t="s">
        <v>308</v>
      </c>
      <c r="B1" s="90" t="s">
        <v>105</v>
      </c>
    </row>
    <row r="2" spans="1:2">
      <c r="A2" s="91">
        <v>8</v>
      </c>
      <c r="B2" s="92">
        <v>0.2891</v>
      </c>
    </row>
    <row r="3" spans="1:2">
      <c r="A3" s="91">
        <v>10</v>
      </c>
      <c r="B3" s="92">
        <v>0.3633</v>
      </c>
    </row>
    <row r="4" spans="1:2">
      <c r="A4" s="91">
        <v>12</v>
      </c>
      <c r="B4" s="92">
        <v>0.1914</v>
      </c>
    </row>
    <row r="5" spans="1:2">
      <c r="A5" s="91">
        <v>14</v>
      </c>
      <c r="B5" s="92">
        <v>0.1172</v>
      </c>
    </row>
    <row r="6" spans="1:2">
      <c r="A6" s="91">
        <v>16</v>
      </c>
      <c r="B6" s="92">
        <v>0.0352</v>
      </c>
    </row>
    <row r="7" spans="1:2">
      <c r="A7" s="91">
        <v>18</v>
      </c>
      <c r="B7" s="92">
        <v>0.0039</v>
      </c>
    </row>
    <row r="9" spans="1:2">
      <c r="A9" s="93" t="s">
        <v>309</v>
      </c>
      <c r="B9" s="56">
        <v>18</v>
      </c>
    </row>
    <row r="10" spans="1:2">
      <c r="A10" s="93" t="s">
        <v>310</v>
      </c>
      <c r="B10" s="56">
        <v>10.515625</v>
      </c>
    </row>
  </sheetData>
</worksheet>
</file>

<file path=xl/worksheets/sheet4.xml><?xml version="1.0" encoding="utf-8"?>
<worksheet xmlns:r="http://schemas.openxmlformats.org/officeDocument/2006/relationships" xmlns="http://schemas.openxmlformats.org/spreadsheetml/2006/main">
  <sheetPr codeName="动作类型分布">
    <tabColor rgb="FFFFFFFF"/>
  </sheetPr>
  <dimension ref="B16"/>
  <sheetViews>
    <sheetView showGridLines="true" workbookViewId="0"/>
  </sheetViews>
  <cols>
    <col min="1" max="1" width="24.4219" customWidth="true"/>
    <col min="4" max="4" width="17.6719" customWidth="true"/>
    <col min="5" max="5" width="19.6914" customWidth="true"/>
  </cols>
  <sheetData>
    <row r="1" spans="1:7">
      <c r="A1" s="52" t="s"/>
      <c r="B1" s="52" t="s">
        <v>97</v>
      </c>
      <c r="C1" s="53" t="s"/>
      <c r="D1" s="53" t="s"/>
      <c r="E1" s="53" t="s"/>
      <c r="F1" s="53" t="s"/>
      <c r="G1" s="53" t="s"/>
    </row>
    <row r="2" spans="1:7">
      <c r="A2" s="53" t="s"/>
      <c r="B2" s="52" t="s">
        <v>98</v>
      </c>
      <c r="C2" s="52" t="s">
        <v>99</v>
      </c>
      <c r="D2" s="53" t="s"/>
      <c r="E2" s="53" t="s"/>
      <c r="F2" s="52" t="s">
        <v>100</v>
      </c>
      <c r="G2" s="52" t="s">
        <v>101</v>
      </c>
    </row>
    <row r="3" spans="1:7">
      <c r="A3" s="53" t="s"/>
      <c r="B3" s="53" t="s"/>
      <c r="C3" s="54" t="s">
        <v>102</v>
      </c>
      <c r="D3" s="54" t="s">
        <v>103</v>
      </c>
      <c r="E3" s="54" t="s">
        <v>104</v>
      </c>
      <c r="F3" s="53" t="s"/>
      <c r="G3" s="53" t="s"/>
    </row>
    <row r="4" spans="1:7">
      <c r="A4" s="54" t="s">
        <v>105</v>
      </c>
      <c r="B4" s="54">
        <v>256</v>
      </c>
      <c r="C4" s="54">
        <v>156</v>
      </c>
      <c r="D4" s="54">
        <v>16</v>
      </c>
      <c r="E4" s="54">
        <v>84</v>
      </c>
      <c r="F4" s="54">
        <v>256</v>
      </c>
      <c r="G4" s="54">
        <v>256</v>
      </c>
    </row>
    <row r="10" spans="1:2">
      <c r="A10" s="55" t="s">
        <v>97</v>
      </c>
      <c r="B10" s="54" t="s">
        <v>105</v>
      </c>
    </row>
    <row r="11" spans="1:2">
      <c r="A11" s="55" t="s">
        <v>98</v>
      </c>
      <c r="B11" s="54">
        <v>256</v>
      </c>
    </row>
    <row r="12" spans="1:2">
      <c r="A12" s="55" t="s">
        <v>106</v>
      </c>
      <c r="B12" s="54">
        <v>156</v>
      </c>
    </row>
    <row r="13" spans="1:2">
      <c r="A13" s="55" t="s">
        <v>107</v>
      </c>
      <c r="B13" s="54">
        <v>16</v>
      </c>
    </row>
    <row r="14" spans="1:2">
      <c r="A14" s="55" t="s">
        <v>108</v>
      </c>
      <c r="B14" s="54">
        <v>84</v>
      </c>
    </row>
    <row r="15" spans="1:2">
      <c r="A15" s="55" t="s">
        <v>100</v>
      </c>
      <c r="B15" s="54">
        <v>256</v>
      </c>
    </row>
    <row r="16" spans="1:2">
      <c r="A16" s="55" t="s">
        <v>101</v>
      </c>
      <c r="B16" s="54">
        <v>256</v>
      </c>
    </row>
  </sheetData>
  <mergeCells count="6">
    <mergeCell ref="C2:E2"/>
    <mergeCell ref="B1:G1"/>
    <mergeCell ref="G2:G3"/>
    <mergeCell ref="F2:F3"/>
    <mergeCell ref="B2:B3"/>
    <mergeCell ref="A1:A3"/>
  </mergeCells>
  <drawing r:id="rId0"/>
</worksheet>
</file>

<file path=xl/worksheets/sheet5.xml><?xml version="1.0" encoding="utf-8"?>
<worksheet xmlns:r="http://schemas.openxmlformats.org/officeDocument/2006/relationships" xmlns="http://schemas.openxmlformats.org/spreadsheetml/2006/main">
  <sheetPr codeName="多轮类型分布">
    <tabColor rgb="FFFFFFFF"/>
  </sheetPr>
  <dimension ref="B4"/>
  <sheetViews>
    <sheetView showGridLines="true" workbookViewId="0"/>
  </sheetViews>
  <sheetData>
    <row r="1" spans="1:2">
      <c r="A1" s="56" t="s">
        <v>350</v>
      </c>
      <c r="B1" s="56" t="s">
        <v>105</v>
      </c>
    </row>
    <row r="2" spans="1:2">
      <c r="A2" s="56" t="s">
        <v>27</v>
      </c>
      <c r="B2" s="56">
        <v>348</v>
      </c>
    </row>
    <row r="3" spans="1:2">
      <c r="A3" s="56" t="s">
        <v>28</v>
      </c>
      <c r="B3" s="56">
        <v>241</v>
      </c>
    </row>
    <row r="4" spans="1:2">
      <c r="A4" s="56" t="s">
        <v>30</v>
      </c>
      <c r="B4" s="56">
        <v>179</v>
      </c>
    </row>
  </sheetData>
  <drawing r:id="rId0"/>
</worksheet>
</file>

<file path=xl/worksheets/sheet6.xml><?xml version="1.0" encoding="utf-8"?>
<worksheet xmlns:r="http://schemas.openxmlformats.org/officeDocument/2006/relationships" xmlns="http://schemas.openxmlformats.org/spreadsheetml/2006/main">
  <sheetPr/>
  <dimension ref="K80"/>
  <sheetViews>
    <sheetView showGridLines="true" workbookViewId="0"/>
  </sheetViews>
  <cols>
    <col min="1" max="1" width="21.9844" customWidth="true"/>
  </cols>
  <sheetData>
    <row r="1" spans="1:9">
      <c r="A1" t="s">
        <v>311</v>
      </c>
      <c r="B1" s="16" t="s">
        <v>312</v>
      </c>
      <c r="C1" s="6" t="s"/>
      <c r="D1" s="6" t="s"/>
      <c r="E1" s="6" t="s"/>
      <c r="F1" s="6" t="s"/>
      <c r="G1" s="6" t="s"/>
      <c r="H1" s="6" t="s"/>
      <c r="I1" s="7" t="s"/>
    </row>
    <row r="3" spans="1:9">
      <c r="A3" t="s">
        <v>313</v>
      </c>
      <c r="B3" s="16" t="s">
        <v>314</v>
      </c>
      <c r="C3" s="6" t="s"/>
      <c r="D3" s="6" t="s"/>
      <c r="E3" s="6" t="s"/>
      <c r="F3" s="6" t="s"/>
      <c r="G3" s="6" t="s"/>
      <c r="H3" s="6" t="s"/>
      <c r="I3" s="7" t="s"/>
    </row>
    <row r="4" spans="2:4">
      <c r="B4" t="s">
        <v>50</v>
      </c>
      <c r="C4" s="16" t="s">
        <v>315</v>
      </c>
      <c r="D4" s="7" t="s"/>
    </row>
    <row r="5" spans="2:4">
      <c r="B5" t="s">
        <v>51</v>
      </c>
      <c r="C5" s="16" t="s">
        <v>316</v>
      </c>
      <c r="D5" s="7" t="s"/>
    </row>
    <row r="6" spans="2:4">
      <c r="B6" t="s">
        <v>47</v>
      </c>
      <c r="C6" s="16" t="s">
        <v>317</v>
      </c>
      <c r="D6" s="7" t="s"/>
    </row>
    <row r="7" spans="3:4">
      <c r="C7" s="16" t="s">
        <v>318</v>
      </c>
      <c r="D7" s="7" t="s"/>
    </row>
    <row r="8" spans="2:3">
      <c r="B8" t="s">
        <v>319</v>
      </c>
      <c r="C8" t="s">
        <v>320</v>
      </c>
    </row>
    <row r="12" spans="21:24">
      <c r="U12" s="35" t="s"/>
      <c r="W12" s="35" t="s"/>
      <c r="X12" s="35" t="s"/>
    </row>
    <row r="13" spans="2:12">
      <c r="B13" s="94" t="s">
        <v>321</v>
      </c>
      <c r="C13" s="95" t="s"/>
      <c r="D13" s="95" t="s"/>
      <c r="E13" s="95" t="s"/>
      <c r="F13" s="95" t="s"/>
      <c r="G13" s="95" t="s"/>
      <c r="H13" s="95" t="s"/>
      <c r="I13" s="95" t="s"/>
      <c r="J13" s="95" t="s"/>
      <c r="K13" s="95" t="s"/>
      <c r="L13" s="96" t="s"/>
    </row>
    <row r="14" spans="2:12">
      <c r="B14" s="97" t="s">
        <v>322</v>
      </c>
      <c r="C14" s="98" t="s">
        <v>16</v>
      </c>
      <c r="D14" s="98" t="s">
        <v>17</v>
      </c>
      <c r="E14" s="98" t="s">
        <v>18</v>
      </c>
      <c r="F14" s="98" t="s">
        <v>19</v>
      </c>
      <c r="G14" s="99" t="s"/>
      <c r="H14" s="99" t="s"/>
      <c r="I14" s="23" t="s"/>
      <c r="J14" s="23" t="s"/>
      <c r="K14" s="23" t="s"/>
      <c r="L14" s="100" t="s"/>
    </row>
    <row r="15" spans="2:18">
      <c r="B15" s="101">
        <v>0</v>
      </c>
      <c r="C15" s="102">
        <v>125</v>
      </c>
      <c r="D15" s="102">
        <v>189</v>
      </c>
      <c r="E15" s="102">
        <v>88</v>
      </c>
      <c r="F15" s="102">
        <v>177</v>
      </c>
      <c r="G15" s="99" t="s"/>
      <c r="H15" s="99" t="s"/>
      <c r="I15" s="23" t="s"/>
      <c r="J15" s="23" t="s"/>
      <c r="K15" s="23" t="s"/>
      <c r="L15" s="100" t="s"/>
      <c r="N15" s="73" t="s"/>
      <c r="O15" s="73" t="s"/>
      <c r="P15" s="73" t="s"/>
      <c r="Q15" s="73" t="s"/>
      <c r="R15" s="73" t="s"/>
    </row>
    <row r="16" spans="2:18">
      <c r="B16" s="101">
        <v>1</v>
      </c>
      <c r="C16" s="102">
        <v>84</v>
      </c>
      <c r="D16" s="102">
        <v>86</v>
      </c>
      <c r="E16" s="102">
        <v>86</v>
      </c>
      <c r="F16" s="102">
        <v>80</v>
      </c>
      <c r="G16" s="99" t="s"/>
      <c r="H16" s="99" t="s"/>
      <c r="I16" s="23" t="s"/>
      <c r="J16" s="23" t="s"/>
      <c r="K16" s="23" t="s"/>
      <c r="L16" s="100" t="s"/>
      <c r="N16" s="73" t="s"/>
      <c r="O16" s="73" t="s"/>
      <c r="P16" s="73" t="s"/>
      <c r="Q16" s="73" t="s"/>
      <c r="R16" s="73" t="s"/>
    </row>
    <row r="17" spans="2:18">
      <c r="B17" s="101">
        <v>2</v>
      </c>
      <c r="C17" s="102">
        <v>80</v>
      </c>
      <c r="D17" s="102">
        <v>83</v>
      </c>
      <c r="E17" s="102">
        <v>77</v>
      </c>
      <c r="F17" s="102">
        <v>80</v>
      </c>
      <c r="G17" s="99" t="s"/>
      <c r="H17" s="99" t="s"/>
      <c r="I17" s="23" t="s"/>
      <c r="J17" s="23" t="s"/>
      <c r="K17" s="23" t="s"/>
      <c r="L17" s="100" t="s"/>
      <c r="N17" s="73" t="s"/>
      <c r="O17" s="73" t="s"/>
      <c r="P17" s="73" t="s"/>
      <c r="Q17" s="73" t="s"/>
      <c r="R17" s="73" t="s"/>
    </row>
    <row r="18" spans="2:18">
      <c r="B18" s="103">
        <v>3</v>
      </c>
      <c r="C18" s="104">
        <v>67</v>
      </c>
      <c r="D18" s="104">
        <v>63</v>
      </c>
      <c r="E18" s="104">
        <v>63</v>
      </c>
      <c r="F18" s="104">
        <v>61</v>
      </c>
      <c r="G18" s="99" t="s"/>
      <c r="H18" s="99" t="s"/>
      <c r="I18" s="23" t="s"/>
      <c r="J18" s="23" t="s"/>
      <c r="K18" s="23" t="s"/>
      <c r="L18" s="100" t="s"/>
      <c r="N18" s="73" t="s"/>
      <c r="O18" s="73" t="s"/>
      <c r="P18" s="73" t="s"/>
      <c r="Q18" s="73" t="s"/>
      <c r="R18" s="73" t="s"/>
    </row>
    <row r="19" spans="2:24">
      <c r="B19" s="105" t="s">
        <v>322</v>
      </c>
      <c r="C19" s="106" t="s">
        <v>323</v>
      </c>
      <c r="D19" s="106" t="s">
        <v>324</v>
      </c>
      <c r="E19" s="106" t="s">
        <v>325</v>
      </c>
      <c r="F19" s="106" t="s">
        <v>326</v>
      </c>
      <c r="G19" s="107" t="s">
        <v>327</v>
      </c>
      <c r="H19" s="107" t="s">
        <v>328</v>
      </c>
      <c r="I19" s="107" t="s">
        <v>329</v>
      </c>
      <c r="J19" s="106" t="s">
        <v>330</v>
      </c>
      <c r="K19" s="106" t="s">
        <v>331</v>
      </c>
      <c r="L19" s="108" t="s">
        <v>332</v>
      </c>
      <c r="N19" s="73" t="s"/>
      <c r="O19" s="73" t="s"/>
      <c r="P19" s="73" t="s"/>
      <c r="Q19" s="73" t="s"/>
      <c r="R19" s="73" t="s"/>
      <c r="S19" s="73" t="s"/>
      <c r="T19" s="73" t="s"/>
      <c r="U19" s="73" t="s"/>
      <c r="V19" s="73" t="s"/>
      <c r="W19" s="73" t="s"/>
      <c r="X19" s="43" t="s"/>
    </row>
    <row r="20" spans="2:24">
      <c r="B20" s="109">
        <v>0</v>
      </c>
      <c r="C20" s="110">
        <v>579</v>
      </c>
      <c r="D20" s="110">
        <v>2.78</v>
      </c>
      <c r="E20" s="110">
        <v>1</v>
      </c>
      <c r="F20" s="110">
        <v>15</v>
      </c>
      <c r="G20" s="110">
        <v>2.78</v>
      </c>
      <c r="H20" s="110">
        <v>1</v>
      </c>
      <c r="I20" s="110">
        <v>15</v>
      </c>
      <c r="J20" s="110" t="s">
        <v>333</v>
      </c>
      <c r="K20" s="110">
        <v>162</v>
      </c>
      <c r="L20" s="111" t="s">
        <v>333</v>
      </c>
      <c r="N20" s="73" t="s"/>
      <c r="O20" s="73" t="s"/>
      <c r="P20" s="73" t="s"/>
      <c r="Q20" s="73" t="s"/>
      <c r="R20" s="73" t="s"/>
      <c r="S20" s="73" t="s"/>
      <c r="T20" s="73" t="s"/>
      <c r="U20" s="73" t="s"/>
      <c r="V20" s="73" t="s"/>
      <c r="W20" s="73" t="s"/>
      <c r="X20" s="43" t="s"/>
    </row>
    <row r="21" spans="2:24">
      <c r="B21" s="109">
        <v>1</v>
      </c>
      <c r="C21" s="110">
        <v>336</v>
      </c>
      <c r="D21" s="110">
        <v>3.1</v>
      </c>
      <c r="E21" s="110">
        <v>1</v>
      </c>
      <c r="F21" s="110">
        <v>15</v>
      </c>
      <c r="G21" s="110">
        <v>8.26</v>
      </c>
      <c r="H21" s="110">
        <v>3</v>
      </c>
      <c r="I21" s="110">
        <v>27</v>
      </c>
      <c r="J21" s="110">
        <v>221</v>
      </c>
      <c r="K21" s="110">
        <v>115</v>
      </c>
      <c r="L21" s="112">
        <v>0.3423</v>
      </c>
      <c r="N21" s="73" t="s"/>
      <c r="O21" s="73" t="s"/>
      <c r="P21" s="73" t="s"/>
      <c r="Q21" s="73" t="s"/>
      <c r="R21" s="73" t="s"/>
      <c r="S21" s="73" t="s"/>
      <c r="T21" s="73" t="s"/>
      <c r="U21" s="73" t="s"/>
      <c r="V21" s="73" t="s"/>
      <c r="W21" s="73" t="s"/>
      <c r="X21" s="43" t="s"/>
    </row>
    <row r="22" spans="2:24">
      <c r="B22" s="109">
        <v>2</v>
      </c>
      <c r="C22" s="110">
        <v>320</v>
      </c>
      <c r="D22" s="110">
        <v>3.51</v>
      </c>
      <c r="E22" s="110">
        <v>1</v>
      </c>
      <c r="F22" s="110">
        <v>19</v>
      </c>
      <c r="G22" s="110">
        <v>13.23</v>
      </c>
      <c r="H22" s="110">
        <v>5</v>
      </c>
      <c r="I22" s="110">
        <v>41</v>
      </c>
      <c r="J22" s="110">
        <v>206</v>
      </c>
      <c r="K22" s="110">
        <v>114</v>
      </c>
      <c r="L22" s="112">
        <v>0.3562</v>
      </c>
      <c r="N22" s="73" t="s"/>
      <c r="O22" s="73" t="s"/>
      <c r="P22" s="73" t="s"/>
      <c r="Q22" s="73" t="s"/>
      <c r="R22" s="73" t="s"/>
      <c r="S22" s="73" t="s"/>
      <c r="T22" s="73" t="s"/>
      <c r="U22" s="73" t="s"/>
      <c r="V22" s="73" t="s"/>
      <c r="W22" s="73" t="s"/>
      <c r="X22" s="43" t="s"/>
    </row>
    <row r="23" spans="2:12">
      <c r="B23" s="113">
        <v>3</v>
      </c>
      <c r="C23" s="114">
        <v>254</v>
      </c>
      <c r="D23" s="114">
        <v>3.88</v>
      </c>
      <c r="E23" s="114">
        <v>1</v>
      </c>
      <c r="F23" s="114">
        <v>15</v>
      </c>
      <c r="G23" s="114">
        <v>18.61</v>
      </c>
      <c r="H23" s="114">
        <v>7</v>
      </c>
      <c r="I23" s="114">
        <v>45</v>
      </c>
      <c r="J23" s="114">
        <v>154</v>
      </c>
      <c r="K23" s="114">
        <v>100</v>
      </c>
      <c r="L23" s="115">
        <v>0.3937</v>
      </c>
    </row>
    <row r="25" spans="2:12">
      <c r="B25" s="94" t="s">
        <v>334</v>
      </c>
      <c r="C25" s="95" t="s"/>
      <c r="D25" s="95" t="s"/>
      <c r="E25" s="95" t="s"/>
      <c r="F25" s="95" t="s"/>
      <c r="G25" s="95" t="s"/>
      <c r="H25" s="95" t="s"/>
      <c r="I25" s="95" t="s"/>
      <c r="J25" s="95" t="s"/>
      <c r="K25" s="95" t="s"/>
      <c r="L25" s="96" t="s"/>
    </row>
    <row r="26" spans="2:12">
      <c r="B26" s="97" t="s">
        <v>322</v>
      </c>
      <c r="C26" s="98" t="s">
        <v>16</v>
      </c>
      <c r="D26" s="98" t="s">
        <v>17</v>
      </c>
      <c r="E26" s="98" t="s">
        <v>18</v>
      </c>
      <c r="F26" s="98" t="s">
        <v>19</v>
      </c>
      <c r="G26" s="99" t="s"/>
      <c r="H26" s="99" t="s"/>
      <c r="I26" s="23" t="s"/>
      <c r="J26" s="23" t="s"/>
      <c r="K26" s="23" t="s"/>
      <c r="L26" s="100" t="s"/>
    </row>
    <row r="27" spans="2:12">
      <c r="B27" s="101">
        <v>0</v>
      </c>
      <c r="C27" s="102">
        <v>87</v>
      </c>
      <c r="D27" s="102">
        <v>86</v>
      </c>
      <c r="E27" s="102">
        <v>86</v>
      </c>
      <c r="F27" s="102">
        <v>81</v>
      </c>
      <c r="G27" s="99" t="s"/>
      <c r="H27" s="99" t="s"/>
      <c r="I27" s="23" t="s"/>
      <c r="J27" s="23" t="s"/>
      <c r="K27" s="23" t="s"/>
      <c r="L27" s="100" t="s"/>
    </row>
    <row r="28" spans="2:19">
      <c r="B28" s="101">
        <v>1</v>
      </c>
      <c r="C28" s="102">
        <v>84</v>
      </c>
      <c r="D28" s="102">
        <v>86</v>
      </c>
      <c r="E28" s="102">
        <v>86</v>
      </c>
      <c r="F28" s="102">
        <v>80</v>
      </c>
      <c r="G28" s="99" t="s"/>
      <c r="H28" s="99" t="s"/>
      <c r="I28" s="23" t="s"/>
      <c r="J28" s="23" t="s"/>
      <c r="K28" s="23" t="s"/>
      <c r="L28" s="100" t="s"/>
      <c r="Q28" s="73" t="s"/>
      <c r="R28" s="73" t="s"/>
      <c r="S28" s="43" t="s"/>
    </row>
    <row r="29" spans="2:19">
      <c r="B29" s="101">
        <v>2</v>
      </c>
      <c r="C29" s="102">
        <v>80</v>
      </c>
      <c r="D29" s="102">
        <v>83</v>
      </c>
      <c r="E29" s="102">
        <v>77</v>
      </c>
      <c r="F29" s="102">
        <v>80</v>
      </c>
      <c r="G29" s="99" t="s"/>
      <c r="H29" s="99" t="s"/>
      <c r="I29" s="23" t="s"/>
      <c r="J29" s="23" t="s"/>
      <c r="K29" s="23" t="s"/>
      <c r="L29" s="100" t="s"/>
      <c r="O29" s="73" t="s"/>
      <c r="P29" s="73" t="s"/>
      <c r="Q29" s="73" t="s"/>
      <c r="R29" s="73" t="s"/>
      <c r="S29" s="73" t="s"/>
    </row>
    <row r="30" spans="2:19">
      <c r="B30" s="103">
        <v>3</v>
      </c>
      <c r="C30" s="104">
        <v>67</v>
      </c>
      <c r="D30" s="104">
        <v>63</v>
      </c>
      <c r="E30" s="104">
        <v>63</v>
      </c>
      <c r="F30" s="104">
        <v>61</v>
      </c>
      <c r="G30" s="99" t="s"/>
      <c r="H30" s="99" t="s"/>
      <c r="I30" s="23" t="s"/>
      <c r="J30" s="23" t="s"/>
      <c r="K30" s="23" t="s"/>
      <c r="L30" s="100" t="s"/>
      <c r="M30" s="73" t="s"/>
      <c r="N30" s="73" t="s"/>
      <c r="O30" s="73" t="s"/>
      <c r="P30" s="73" t="s"/>
      <c r="Q30" s="73" t="s"/>
      <c r="R30" s="73" t="s"/>
      <c r="S30" s="73" t="s"/>
    </row>
    <row r="31" spans="2:19">
      <c r="B31" s="105" t="s">
        <v>322</v>
      </c>
      <c r="C31" s="106" t="s">
        <v>323</v>
      </c>
      <c r="D31" s="106" t="s">
        <v>324</v>
      </c>
      <c r="E31" s="106" t="s">
        <v>325</v>
      </c>
      <c r="F31" s="106" t="s">
        <v>326</v>
      </c>
      <c r="G31" s="107" t="s">
        <v>327</v>
      </c>
      <c r="H31" s="107" t="s">
        <v>328</v>
      </c>
      <c r="I31" s="107" t="s">
        <v>329</v>
      </c>
      <c r="J31" s="106" t="s">
        <v>330</v>
      </c>
      <c r="K31" s="106" t="s">
        <v>331</v>
      </c>
      <c r="L31" s="108" t="s">
        <v>332</v>
      </c>
      <c r="M31" s="73" t="s"/>
      <c r="N31" s="73" t="s"/>
      <c r="O31" s="73" t="s"/>
      <c r="P31" s="73" t="s"/>
      <c r="Q31" s="73" t="s"/>
      <c r="R31" s="73" t="s"/>
      <c r="S31" s="73" t="s"/>
    </row>
    <row r="32" spans="2:19">
      <c r="B32" s="109">
        <v>0</v>
      </c>
      <c r="C32" s="110">
        <v>340</v>
      </c>
      <c r="D32" s="110">
        <v>3.59</v>
      </c>
      <c r="E32" s="110">
        <v>1</v>
      </c>
      <c r="F32" s="110">
        <v>15</v>
      </c>
      <c r="G32" s="110">
        <v>3.59</v>
      </c>
      <c r="H32" s="110">
        <v>1</v>
      </c>
      <c r="I32" s="110">
        <v>15</v>
      </c>
      <c r="J32" s="110" t="s">
        <v>333</v>
      </c>
      <c r="K32" s="110">
        <v>139</v>
      </c>
      <c r="L32" s="111" t="s">
        <v>333</v>
      </c>
      <c r="M32" s="73" t="s"/>
      <c r="N32" s="73" t="s"/>
      <c r="O32" s="73" t="s"/>
      <c r="P32" s="73" t="s"/>
      <c r="Q32" s="73" t="s"/>
      <c r="R32" s="73" t="s"/>
      <c r="S32" s="73" t="s"/>
    </row>
    <row r="33" spans="2:19">
      <c r="B33" s="109">
        <v>1</v>
      </c>
      <c r="C33" s="110">
        <v>336</v>
      </c>
      <c r="D33" s="110">
        <v>3.1</v>
      </c>
      <c r="E33" s="110">
        <v>1</v>
      </c>
      <c r="F33" s="110">
        <v>15</v>
      </c>
      <c r="G33" s="110">
        <v>8.26</v>
      </c>
      <c r="H33" s="110">
        <v>3</v>
      </c>
      <c r="I33" s="110">
        <v>27</v>
      </c>
      <c r="J33" s="110">
        <v>221</v>
      </c>
      <c r="K33" s="110">
        <v>115</v>
      </c>
      <c r="L33" s="112">
        <v>0.3423</v>
      </c>
      <c r="M33" s="73" t="s"/>
      <c r="N33" s="73" t="s"/>
      <c r="O33" s="73" t="s"/>
      <c r="P33" s="73" t="s"/>
      <c r="Q33" s="73" t="s"/>
      <c r="R33" s="73" t="s"/>
      <c r="S33" s="43" t="s"/>
    </row>
    <row r="34" spans="2:19">
      <c r="B34" s="109">
        <v>2</v>
      </c>
      <c r="C34" s="110">
        <v>320</v>
      </c>
      <c r="D34" s="110">
        <v>3.51</v>
      </c>
      <c r="E34" s="110">
        <v>1</v>
      </c>
      <c r="F34" s="110">
        <v>19</v>
      </c>
      <c r="G34" s="110">
        <v>13.23</v>
      </c>
      <c r="H34" s="110">
        <v>5</v>
      </c>
      <c r="I34" s="110">
        <v>41</v>
      </c>
      <c r="J34" s="110">
        <v>206</v>
      </c>
      <c r="K34" s="110">
        <v>114</v>
      </c>
      <c r="L34" s="112">
        <v>0.3562</v>
      </c>
      <c r="M34" s="73" t="s"/>
      <c r="N34" s="73" t="s"/>
      <c r="O34" s="73" t="s"/>
      <c r="P34" s="73" t="s"/>
      <c r="Q34" s="73" t="s"/>
      <c r="R34" s="73" t="s"/>
      <c r="S34" s="43" t="s"/>
    </row>
    <row r="35" spans="2:19">
      <c r="B35" s="113">
        <v>3</v>
      </c>
      <c r="C35" s="114">
        <v>254</v>
      </c>
      <c r="D35" s="114">
        <v>3.88</v>
      </c>
      <c r="E35" s="114">
        <v>1</v>
      </c>
      <c r="F35" s="114">
        <v>15</v>
      </c>
      <c r="G35" s="114">
        <v>18.61</v>
      </c>
      <c r="H35" s="114">
        <v>7</v>
      </c>
      <c r="I35" s="114">
        <v>45</v>
      </c>
      <c r="J35" s="114">
        <v>154</v>
      </c>
      <c r="K35" s="114">
        <v>100</v>
      </c>
      <c r="L35" s="115">
        <v>0.3937</v>
      </c>
      <c r="M35" s="73" t="s"/>
      <c r="N35" s="73" t="s"/>
      <c r="O35" s="73" t="s"/>
      <c r="P35" s="73" t="s"/>
      <c r="Q35" s="73" t="s"/>
      <c r="R35" s="73" t="s"/>
      <c r="S35" s="43" t="s"/>
    </row>
    <row r="36" spans="12:19">
      <c r="L36" s="73" t="s"/>
      <c r="M36" s="73" t="s"/>
      <c r="N36" s="73" t="s"/>
      <c r="O36" s="73" t="s"/>
      <c r="P36" s="73" t="s"/>
      <c r="Q36" s="73" t="s"/>
      <c r="R36" s="73" t="s"/>
      <c r="S36" s="43" t="s"/>
    </row>
    <row r="37" spans="12:19">
      <c r="L37" s="73" t="s"/>
      <c r="M37" s="73" t="s"/>
      <c r="N37" s="73" t="s"/>
      <c r="O37" s="73" t="s"/>
      <c r="P37" s="73" t="s"/>
      <c r="Q37" s="73" t="s"/>
      <c r="R37" s="73" t="s"/>
      <c r="S37" s="43" t="s"/>
    </row>
    <row r="38" spans="12:19">
      <c r="L38" s="73" t="s"/>
      <c r="M38" s="73" t="s"/>
      <c r="N38" s="73" t="s"/>
      <c r="O38" s="73" t="s"/>
      <c r="P38" s="73" t="s"/>
      <c r="Q38" s="73" t="s"/>
      <c r="R38" s="73" t="s"/>
      <c r="S38" s="43" t="s"/>
    </row>
    <row r="39" spans="12:19">
      <c r="L39" s="73" t="s"/>
      <c r="M39" s="73" t="s"/>
      <c r="N39" s="73" t="s"/>
      <c r="O39" s="73" t="s"/>
      <c r="P39" s="73" t="s"/>
      <c r="Q39" s="73" t="s"/>
      <c r="R39" s="73" t="s"/>
      <c r="S39" s="43" t="s"/>
    </row>
    <row r="40" spans="12:19">
      <c r="L40" s="73" t="s"/>
      <c r="M40" s="73" t="s"/>
      <c r="N40" s="73" t="s"/>
      <c r="O40" s="73" t="s"/>
      <c r="P40" s="73" t="s"/>
      <c r="Q40" s="73" t="s"/>
      <c r="R40" s="73" t="s"/>
      <c r="S40" s="43" t="s"/>
    </row>
    <row r="41" spans="1:19">
      <c r="A41" t="s">
        <v>402</v>
      </c>
      <c r="C41" t="s">
        <v>335</v>
      </c>
      <c r="L41" s="73" t="s"/>
      <c r="M41" s="73" t="s"/>
      <c r="N41" s="73" t="s"/>
      <c r="O41" s="73" t="s"/>
      <c r="P41" s="73" t="s"/>
      <c r="Q41" s="73" t="s"/>
      <c r="R41" s="73" t="s"/>
      <c r="S41" s="43" t="s"/>
    </row>
    <row r="44" spans="1:1">
      <c r="A44" t="s">
        <v>403</v>
      </c>
    </row>
    <row r="46" spans="1:1">
      <c r="A46" s="51" t="s">
        <v>336</v>
      </c>
    </row>
    <row r="47" spans="1:1">
      <c r="A47" s="51" t="s">
        <v>337</v>
      </c>
    </row>
    <row r="50" spans="1:11">
      <c r="A50" s="51" t="s">
        <v>338</v>
      </c>
      <c r="B50" t="s">
        <v>31</v>
      </c>
      <c r="D50" s="116" t="s">
        <v>339</v>
      </c>
      <c r="E50" s="117" t="s"/>
      <c r="F50" s="117" t="s"/>
      <c r="G50" s="117" t="s"/>
      <c r="H50" s="117" t="s"/>
      <c r="I50" s="117" t="s"/>
      <c r="J50" s="117" t="s"/>
      <c r="K50" s="118" t="s"/>
    </row>
    <row r="51" spans="1:16">
      <c r="A51" s="51" t="s">
        <v>340</v>
      </c>
      <c r="B51" t="s">
        <v>32</v>
      </c>
      <c r="D51" s="119" t="s"/>
      <c r="E51" s="53" t="s"/>
      <c r="F51" s="53" t="s"/>
      <c r="G51" s="53" t="s"/>
      <c r="H51" s="53" t="s"/>
      <c r="I51" s="53" t="s"/>
      <c r="J51" s="53" t="s"/>
      <c r="K51" s="120" t="s"/>
      <c r="L51" s="73" t="s"/>
      <c r="M51" s="73" t="s"/>
      <c r="N51" s="73" t="s"/>
      <c r="O51" s="73" t="s"/>
      <c r="P51" s="73" t="s"/>
    </row>
    <row r="52" spans="1:16">
      <c r="A52" s="51" t="s">
        <v>341</v>
      </c>
      <c r="B52" t="s">
        <v>33</v>
      </c>
      <c r="D52" s="119" t="s"/>
      <c r="E52" s="53" t="s"/>
      <c r="F52" s="53" t="s"/>
      <c r="G52" s="53" t="s"/>
      <c r="H52" s="53" t="s"/>
      <c r="I52" s="53" t="s"/>
      <c r="J52" s="53" t="s"/>
      <c r="K52" s="120" t="s"/>
      <c r="L52" s="73" t="s"/>
      <c r="M52" s="73" t="s"/>
      <c r="N52" s="73" t="s"/>
      <c r="O52" s="73" t="s"/>
      <c r="P52" s="73" t="s"/>
    </row>
    <row r="53" spans="1:16">
      <c r="A53" s="51" t="s">
        <v>342</v>
      </c>
      <c r="B53" t="s">
        <v>35</v>
      </c>
      <c r="D53" s="119" t="s"/>
      <c r="E53" s="53" t="s"/>
      <c r="F53" s="53" t="s"/>
      <c r="G53" s="53" t="s"/>
      <c r="H53" s="53" t="s"/>
      <c r="I53" s="53" t="s"/>
      <c r="J53" s="53" t="s"/>
      <c r="K53" s="120" t="s"/>
      <c r="L53" s="73" t="s"/>
      <c r="M53" s="73" t="s"/>
      <c r="N53" s="73" t="s"/>
      <c r="O53" s="73" t="s"/>
      <c r="P53" s="73" t="s"/>
    </row>
    <row r="54" spans="1:16">
      <c r="A54" s="51" t="s">
        <v>343</v>
      </c>
      <c r="B54" t="s">
        <v>36</v>
      </c>
      <c r="D54" s="119" t="s"/>
      <c r="E54" s="53" t="s"/>
      <c r="F54" s="53" t="s"/>
      <c r="G54" s="53" t="s"/>
      <c r="H54" s="53" t="s"/>
      <c r="I54" s="53" t="s"/>
      <c r="J54" s="53" t="s"/>
      <c r="K54" s="120" t="s"/>
      <c r="L54" s="73" t="s"/>
      <c r="M54" s="73" t="s"/>
      <c r="N54" s="73" t="s"/>
      <c r="O54" s="73" t="s"/>
      <c r="P54" s="73" t="s"/>
    </row>
    <row r="55" spans="1:11">
      <c r="A55" s="51" t="s">
        <v>344</v>
      </c>
      <c r="B55" t="s">
        <v>37</v>
      </c>
      <c r="D55" s="119" t="s"/>
      <c r="E55" s="53" t="s"/>
      <c r="F55" s="53" t="s"/>
      <c r="G55" s="53" t="s"/>
      <c r="H55" s="53" t="s"/>
      <c r="I55" s="53" t="s"/>
      <c r="J55" s="53" t="s"/>
      <c r="K55" s="120" t="s"/>
    </row>
    <row r="56" spans="1:11">
      <c r="A56" s="51" t="s">
        <v>345</v>
      </c>
      <c r="B56" t="s">
        <v>38</v>
      </c>
      <c r="D56" s="119" t="s"/>
      <c r="E56" s="53" t="s"/>
      <c r="F56" s="53" t="s"/>
      <c r="G56" s="53" t="s"/>
      <c r="H56" s="53" t="s"/>
      <c r="I56" s="53" t="s"/>
      <c r="J56" s="53" t="s"/>
      <c r="K56" s="120" t="s"/>
    </row>
    <row r="57" spans="1:11">
      <c r="A57" s="51" t="s">
        <v>346</v>
      </c>
      <c r="B57" t="s">
        <v>39</v>
      </c>
      <c r="D57" s="119" t="s"/>
      <c r="E57" s="53" t="s"/>
      <c r="F57" s="53" t="s"/>
      <c r="G57" s="53" t="s"/>
      <c r="H57" s="53" t="s"/>
      <c r="I57" s="53" t="s"/>
      <c r="J57" s="53" t="s"/>
      <c r="K57" s="120" t="s"/>
    </row>
    <row r="58" spans="1:11">
      <c r="A58" s="51" t="s">
        <v>347</v>
      </c>
      <c r="B58" t="s">
        <v>40</v>
      </c>
      <c r="D58" s="119" t="s"/>
      <c r="E58" s="53" t="s"/>
      <c r="F58" s="53" t="s"/>
      <c r="G58" s="53" t="s"/>
      <c r="H58" s="53" t="s"/>
      <c r="I58" s="53" t="s"/>
      <c r="J58" s="53" t="s"/>
      <c r="K58" s="120" t="s"/>
    </row>
    <row r="59" spans="1:11">
      <c r="A59" s="51" t="s">
        <v>348</v>
      </c>
      <c r="B59" t="s">
        <v>41</v>
      </c>
      <c r="D59" s="119" t="s"/>
      <c r="E59" s="53" t="s"/>
      <c r="F59" s="53" t="s"/>
      <c r="G59" s="53" t="s"/>
      <c r="H59" s="53" t="s"/>
      <c r="I59" s="53" t="s"/>
      <c r="J59" s="53" t="s"/>
      <c r="K59" s="120" t="s"/>
    </row>
    <row r="60" spans="1:11">
      <c r="A60" s="51" t="s">
        <v>349</v>
      </c>
      <c r="B60" t="s">
        <v>42</v>
      </c>
      <c r="D60" s="119" t="s"/>
      <c r="E60" s="53" t="s"/>
      <c r="F60" s="53" t="s"/>
      <c r="G60" s="53" t="s"/>
      <c r="H60" s="53" t="s"/>
      <c r="I60" s="53" t="s"/>
      <c r="J60" s="53" t="s"/>
      <c r="K60" s="120" t="s"/>
    </row>
    <row r="61" spans="4:11">
      <c r="D61" s="119" t="s"/>
      <c r="E61" s="53" t="s"/>
      <c r="F61" s="53" t="s"/>
      <c r="G61" s="53" t="s"/>
      <c r="H61" s="53" t="s"/>
      <c r="I61" s="53" t="s"/>
      <c r="J61" s="53" t="s"/>
      <c r="K61" s="120" t="s"/>
    </row>
    <row r="62" spans="4:11">
      <c r="D62" s="119" t="s"/>
      <c r="E62" s="53" t="s"/>
      <c r="F62" s="53" t="s"/>
      <c r="G62" s="53" t="s"/>
      <c r="H62" s="53" t="s"/>
      <c r="I62" s="53" t="s"/>
      <c r="J62" s="53" t="s"/>
      <c r="K62" s="120" t="s"/>
    </row>
    <row r="63" spans="4:11">
      <c r="D63" s="119" t="s"/>
      <c r="E63" s="53" t="s"/>
      <c r="F63" s="53" t="s"/>
      <c r="G63" s="53" t="s"/>
      <c r="H63" s="53" t="s"/>
      <c r="I63" s="53" t="s"/>
      <c r="J63" s="53" t="s"/>
      <c r="K63" s="120" t="s"/>
    </row>
    <row r="64" spans="4:11">
      <c r="D64" s="119" t="s"/>
      <c r="E64" s="53" t="s"/>
      <c r="F64" s="53" t="s"/>
      <c r="G64" s="53" t="s"/>
      <c r="H64" s="53" t="s"/>
      <c r="I64" s="53" t="s"/>
      <c r="J64" s="53" t="s"/>
      <c r="K64" s="120" t="s"/>
    </row>
    <row r="65" spans="4:11">
      <c r="D65" s="119" t="s"/>
      <c r="E65" s="53" t="s"/>
      <c r="F65" s="53" t="s"/>
      <c r="G65" s="53" t="s"/>
      <c r="H65" s="53" t="s"/>
      <c r="I65" s="53" t="s"/>
      <c r="J65" s="53" t="s"/>
      <c r="K65" s="120" t="s"/>
    </row>
    <row r="66" spans="4:11">
      <c r="D66" s="119" t="s"/>
      <c r="E66" s="53" t="s"/>
      <c r="F66" s="53" t="s"/>
      <c r="G66" s="53" t="s"/>
      <c r="H66" s="53" t="s"/>
      <c r="I66" s="53" t="s"/>
      <c r="J66" s="53" t="s"/>
      <c r="K66" s="120" t="s"/>
    </row>
    <row r="67" spans="4:11">
      <c r="D67" s="119" t="s"/>
      <c r="E67" s="53" t="s"/>
      <c r="F67" s="53" t="s"/>
      <c r="G67" s="53" t="s"/>
      <c r="H67" s="53" t="s"/>
      <c r="I67" s="53" t="s"/>
      <c r="J67" s="53" t="s"/>
      <c r="K67" s="120" t="s"/>
    </row>
    <row r="68" spans="4:11">
      <c r="D68" s="119" t="s"/>
      <c r="E68" s="53" t="s"/>
      <c r="F68" s="53" t="s"/>
      <c r="G68" s="53" t="s"/>
      <c r="H68" s="53" t="s"/>
      <c r="I68" s="53" t="s"/>
      <c r="J68" s="53" t="s"/>
      <c r="K68" s="120" t="s"/>
    </row>
    <row r="69" spans="4:11">
      <c r="D69" s="119" t="s"/>
      <c r="E69" s="53" t="s"/>
      <c r="F69" s="53" t="s"/>
      <c r="G69" s="53" t="s"/>
      <c r="H69" s="53" t="s"/>
      <c r="I69" s="53" t="s"/>
      <c r="J69" s="53" t="s"/>
      <c r="K69" s="120" t="s"/>
    </row>
    <row r="70" spans="4:11">
      <c r="D70" s="119" t="s"/>
      <c r="E70" s="53" t="s"/>
      <c r="F70" s="53" t="s"/>
      <c r="G70" s="53" t="s"/>
      <c r="H70" s="53" t="s"/>
      <c r="I70" s="53" t="s"/>
      <c r="J70" s="53" t="s"/>
      <c r="K70" s="120" t="s"/>
    </row>
    <row r="71" spans="4:11">
      <c r="D71" s="119" t="s"/>
      <c r="E71" s="53" t="s"/>
      <c r="F71" s="53" t="s"/>
      <c r="G71" s="53" t="s"/>
      <c r="H71" s="53" t="s"/>
      <c r="I71" s="53" t="s"/>
      <c r="J71" s="53" t="s"/>
      <c r="K71" s="120" t="s"/>
    </row>
    <row r="72" spans="4:11">
      <c r="D72" s="119" t="s"/>
      <c r="E72" s="53" t="s"/>
      <c r="F72" s="53" t="s"/>
      <c r="G72" s="53" t="s"/>
      <c r="H72" s="53" t="s"/>
      <c r="I72" s="53" t="s"/>
      <c r="J72" s="53" t="s"/>
      <c r="K72" s="120" t="s"/>
    </row>
    <row r="73" spans="4:11">
      <c r="D73" s="119" t="s"/>
      <c r="E73" s="53" t="s"/>
      <c r="F73" s="53" t="s"/>
      <c r="G73" s="53" t="s"/>
      <c r="H73" s="53" t="s"/>
      <c r="I73" s="53" t="s"/>
      <c r="J73" s="53" t="s"/>
      <c r="K73" s="120" t="s"/>
    </row>
    <row r="74" spans="4:11">
      <c r="D74" s="119" t="s"/>
      <c r="E74" s="53" t="s"/>
      <c r="F74" s="53" t="s"/>
      <c r="G74" s="53" t="s"/>
      <c r="H74" s="53" t="s"/>
      <c r="I74" s="53" t="s"/>
      <c r="J74" s="53" t="s"/>
      <c r="K74" s="120" t="s"/>
    </row>
    <row r="75" spans="4:11">
      <c r="D75" s="119" t="s"/>
      <c r="E75" s="53" t="s"/>
      <c r="F75" s="53" t="s"/>
      <c r="G75" s="53" t="s"/>
      <c r="H75" s="53" t="s"/>
      <c r="I75" s="53" t="s"/>
      <c r="J75" s="53" t="s"/>
      <c r="K75" s="120" t="s"/>
    </row>
    <row r="76" spans="4:11">
      <c r="D76" s="119" t="s"/>
      <c r="E76" s="53" t="s"/>
      <c r="F76" s="53" t="s"/>
      <c r="G76" s="53" t="s"/>
      <c r="H76" s="53" t="s"/>
      <c r="I76" s="53" t="s"/>
      <c r="J76" s="53" t="s"/>
      <c r="K76" s="120" t="s"/>
    </row>
    <row r="77" spans="4:11">
      <c r="D77" s="119" t="s"/>
      <c r="E77" s="53" t="s"/>
      <c r="F77" s="53" t="s"/>
      <c r="G77" s="53" t="s"/>
      <c r="H77" s="53" t="s"/>
      <c r="I77" s="53" t="s"/>
      <c r="J77" s="53" t="s"/>
      <c r="K77" s="120" t="s"/>
    </row>
    <row r="78" spans="4:11">
      <c r="D78" s="119" t="s"/>
      <c r="E78" s="53" t="s"/>
      <c r="F78" s="53" t="s"/>
      <c r="G78" s="53" t="s"/>
      <c r="H78" s="53" t="s"/>
      <c r="I78" s="53" t="s"/>
      <c r="J78" s="53" t="s"/>
      <c r="K78" s="120" t="s"/>
    </row>
    <row r="79" spans="4:11">
      <c r="D79" s="119" t="s"/>
      <c r="E79" s="53" t="s"/>
      <c r="F79" s="53" t="s"/>
      <c r="G79" s="53" t="s"/>
      <c r="H79" s="53" t="s"/>
      <c r="I79" s="53" t="s"/>
      <c r="J79" s="53" t="s"/>
      <c r="K79" s="120" t="s"/>
    </row>
    <row r="80" spans="4:11">
      <c r="D80" s="121" t="s"/>
      <c r="E80" s="122" t="s"/>
      <c r="F80" s="122" t="s"/>
      <c r="G80" s="122" t="s"/>
      <c r="H80" s="122" t="s"/>
      <c r="I80" s="122" t="s"/>
      <c r="J80" s="122" t="s"/>
      <c r="K80" s="123" t="s"/>
    </row>
  </sheetData>
  <mergeCells count="9">
    <mergeCell ref="C4:D4"/>
    <mergeCell ref="C5:D5"/>
    <mergeCell ref="C6:D6"/>
    <mergeCell ref="C7:D7"/>
    <mergeCell ref="B1:I1"/>
    <mergeCell ref="B3:I3"/>
    <mergeCell ref="B13:L13"/>
    <mergeCell ref="B25:L25"/>
    <mergeCell ref="D50:K80"/>
  </mergeCells>
  <hyperlinks>
    <hyperlink ref="A41" r:id="rId0"/>
    <hyperlink ref="A44" r:id="rId1"/>
  </hyperlinks>
</worksheet>
</file>

<file path=xl/worksheets/sheet7.xml><?xml version="1.0" encoding="utf-8"?>
<worksheet xmlns="http://schemas.openxmlformats.org/spreadsheetml/2006/main">
  <sheetPr codeName="指标">
    <tabColor rgb="FFFFFFFF"/>
  </sheetPr>
  <dimension ref="C187"/>
  <sheetViews>
    <sheetView showGridLines="true" workbookViewId="0">
      <pane xSplit="1" ySplit="3" topLeftCell="B4" state="frozen"/>
    </sheetView>
  </sheetViews>
  <cols>
    <col min="1" max="1" width="35.8828" customWidth="true"/>
    <col min="2" max="2" width="11.7344" customWidth="true"/>
    <col min="3" max="3" width="11.7344" customWidth="true"/>
    <col min="4" max="4" width="10.5234" style="160" customWidth="true"/>
    <col min="5" max="12" width="9.71094" style="160" customWidth="true"/>
    <col min="13" max="13" width="11.1914" customWidth="true"/>
    <col min="14" max="14" width="11.6016" customWidth="true"/>
    <col min="15" max="15" width="12.2734" customWidth="true"/>
    <col min="16" max="18" width="12.9531" customWidth="true"/>
    <col min="19" max="19" width="13.4844" customWidth="true"/>
    <col min="20" max="20" width="12.6836" customWidth="true"/>
    <col min="21" max="21" width="15.5117" customWidth="true"/>
    <col min="22" max="33" width="9.71094" customWidth="true"/>
    <col min="34" max="38" width="9.71094" style="160" customWidth="true"/>
    <col min="39" max="39" width="9.71094" customWidth="true"/>
  </cols>
  <sheetData>
    <row r="1" spans="1:38" s="34">
      <c r="A1" s="124" t="s">
        <v>1</v>
      </c>
      <c r="B1" s="124" t="s">
        <v>2</v>
      </c>
      <c r="C1" s="124" t="s">
        <v>3</v>
      </c>
      <c r="D1" s="125" t="s">
        <v>4</v>
      </c>
      <c r="E1" s="126" t="s">
        <v>5</v>
      </c>
      <c r="F1" s="23" t="s"/>
      <c r="G1" s="23" t="s"/>
      <c r="H1" s="23" t="s"/>
      <c r="I1" s="127" t="s">
        <v>6</v>
      </c>
      <c r="J1" s="23" t="s"/>
      <c r="K1" s="23" t="s"/>
      <c r="L1" s="23" t="s"/>
      <c r="M1" s="130" t="s">
        <v>7</v>
      </c>
      <c r="N1" s="23" t="s"/>
      <c r="O1" s="23" t="s"/>
      <c r="P1" s="131" t="s">
        <v>8</v>
      </c>
      <c r="Q1" s="131" t="s">
        <v>9</v>
      </c>
      <c r="R1" s="130" t="s">
        <v>10</v>
      </c>
      <c r="S1" s="131" t="s">
        <v>393</v>
      </c>
      <c r="T1" s="131" t="s">
        <v>11</v>
      </c>
      <c r="U1" s="131" t="s">
        <v>12</v>
      </c>
      <c r="V1" s="132" t="s">
        <v>13</v>
      </c>
      <c r="W1" s="23" t="s"/>
      <c r="X1" s="23" t="s"/>
      <c r="Y1" s="13" t="s"/>
      <c r="Z1" s="23" t="s"/>
      <c r="AA1" s="23" t="s"/>
      <c r="AB1" s="23" t="s"/>
      <c r="AC1" s="23" t="s"/>
      <c r="AD1" s="23" t="s"/>
      <c r="AE1" s="23" t="s"/>
      <c r="AF1" s="23" t="s"/>
      <c r="AG1" s="23" t="s"/>
      <c r="AH1" s="133" t="s">
        <v>14</v>
      </c>
      <c r="AI1" s="7" t="s"/>
      <c r="AJ1" s="134" t="s">
        <v>15</v>
      </c>
      <c r="AK1" s="23" t="s"/>
      <c r="AL1" s="23" t="s"/>
    </row>
    <row r="2" spans="1:38" s="34">
      <c r="A2" s="17" t="s"/>
      <c r="B2" s="17" t="s"/>
      <c r="C2" s="17" t="s"/>
      <c r="D2" s="18" t="s"/>
      <c r="E2" s="126" t="s">
        <v>16</v>
      </c>
      <c r="F2" s="126" t="s">
        <v>17</v>
      </c>
      <c r="G2" s="126" t="s">
        <v>18</v>
      </c>
      <c r="H2" s="126" t="s">
        <v>19</v>
      </c>
      <c r="I2" s="135">
        <v>0</v>
      </c>
      <c r="J2" s="135">
        <v>1</v>
      </c>
      <c r="K2" s="135">
        <v>2</v>
      </c>
      <c r="L2" s="135">
        <v>3</v>
      </c>
      <c r="M2" s="131" t="s">
        <v>20</v>
      </c>
      <c r="N2" s="131" t="s">
        <v>21</v>
      </c>
      <c r="O2" s="131" t="s">
        <v>22</v>
      </c>
      <c r="P2" s="23" t="s"/>
      <c r="Q2" s="23" t="s"/>
      <c r="R2" s="13" t="s"/>
      <c r="S2" s="23" t="s"/>
      <c r="T2" s="23" t="s"/>
      <c r="U2" s="23" t="s"/>
      <c r="V2" s="22" t="s">
        <v>23</v>
      </c>
      <c r="W2" s="23" t="s"/>
      <c r="X2" s="23" t="s"/>
      <c r="Y2" s="24" t="s"/>
      <c r="Z2" s="23" t="s"/>
      <c r="AA2" s="23" t="s"/>
      <c r="AB2" s="23" t="s"/>
      <c r="AC2" s="136" t="s">
        <v>24</v>
      </c>
      <c r="AD2" s="23" t="s"/>
      <c r="AE2" s="23" t="s"/>
      <c r="AF2" s="23" t="s"/>
      <c r="AG2" s="23" t="s"/>
      <c r="AH2" s="137" t="s">
        <v>25</v>
      </c>
      <c r="AI2" s="138" t="s">
        <v>26</v>
      </c>
      <c r="AJ2" s="139" t="s">
        <v>27</v>
      </c>
      <c r="AK2" s="139" t="s">
        <v>28</v>
      </c>
      <c r="AL2" s="139" t="s">
        <v>30</v>
      </c>
    </row>
    <row r="3" spans="1:38" s="34" ht="27.75" customHeight="true">
      <c r="A3" s="23" t="s"/>
      <c r="B3" s="23" t="s"/>
      <c r="C3" s="23" t="s"/>
      <c r="D3" s="23" t="s"/>
      <c r="E3" s="23" t="s"/>
      <c r="F3" s="23" t="s"/>
      <c r="G3" s="23" t="s"/>
      <c r="H3" s="23" t="s"/>
      <c r="I3" s="23" t="s"/>
      <c r="J3" s="23" t="s"/>
      <c r="K3" s="23" t="s"/>
      <c r="L3" s="23" t="s"/>
      <c r="M3" s="23" t="s"/>
      <c r="N3" s="23" t="s"/>
      <c r="O3" s="23" t="s"/>
      <c r="P3" s="23" t="s"/>
      <c r="Q3" s="23" t="s"/>
      <c r="R3" s="23" t="s"/>
      <c r="S3" s="23" t="s"/>
      <c r="T3" s="23" t="s"/>
      <c r="U3" s="23" t="s"/>
      <c r="V3" s="24" t="s">
        <v>31</v>
      </c>
      <c r="W3" s="24" t="s">
        <v>32</v>
      </c>
      <c r="X3" s="24" t="s">
        <v>33</v>
      </c>
      <c r="Y3" s="24" t="s">
        <v>34</v>
      </c>
      <c r="Z3" s="24" t="s">
        <v>35</v>
      </c>
      <c r="AA3" s="24" t="s">
        <v>36</v>
      </c>
      <c r="AB3" s="24" t="s">
        <v>37</v>
      </c>
      <c r="AC3" s="30" t="s">
        <v>38</v>
      </c>
      <c r="AD3" s="30" t="s">
        <v>39</v>
      </c>
      <c r="AE3" s="30" t="s">
        <v>40</v>
      </c>
      <c r="AF3" s="30" t="s">
        <v>41</v>
      </c>
      <c r="AG3" s="30" t="s">
        <v>42</v>
      </c>
      <c r="AH3" s="21" t="s"/>
      <c r="AI3" s="23" t="s"/>
      <c r="AJ3" s="23" t="s"/>
      <c r="AK3" s="23" t="s"/>
      <c r="AL3" s="23" t="s"/>
    </row>
    <row r="4" spans="1:48" s="159" hidden="true">
      <c r="A4" s="140" t="s">
        <v>66</v>
      </c>
      <c r="B4" s="141" t="s"/>
      <c r="C4" s="142" t="s"/>
      <c r="D4" s="140" t="s"/>
      <c r="E4" s="140" t="s"/>
      <c r="F4" s="140" t="s"/>
      <c r="G4" s="140" t="s"/>
      <c r="H4" s="140" t="s"/>
      <c r="I4" s="140" t="s"/>
      <c r="J4" s="140" t="s"/>
      <c r="K4" s="140" t="s"/>
      <c r="L4" s="140" t="s"/>
      <c r="M4" s="42" t="s"/>
      <c r="N4" s="42" t="s"/>
      <c r="O4" s="42" t="s"/>
      <c r="P4" s="42" t="s"/>
      <c r="Q4" s="42" t="s"/>
      <c r="R4" s="42" t="s"/>
      <c r="S4" s="42" t="s"/>
      <c r="T4" s="42" t="s"/>
      <c r="U4" s="42" t="s"/>
      <c r="V4" s="42" t="s"/>
      <c r="W4" s="42" t="s"/>
      <c r="X4" s="42" t="s"/>
      <c r="Y4" s="42" t="s"/>
      <c r="Z4" s="42" t="s"/>
      <c r="AA4" s="42" t="s"/>
      <c r="AB4" s="42" t="s"/>
      <c r="AC4" s="42" t="s"/>
      <c r="AD4" s="42" t="s"/>
      <c r="AE4" s="42" t="s"/>
      <c r="AF4" s="42" t="s"/>
      <c r="AG4" s="42" t="s"/>
      <c r="AH4" s="29" t="s"/>
      <c r="AI4" s="143" t="s"/>
      <c r="AJ4" s="143" t="s"/>
      <c r="AK4" s="143" t="s"/>
      <c r="AL4" s="143" t="s"/>
      <c r="AM4" s="144" t="s"/>
      <c r="AN4" s="144" t="s"/>
      <c r="AO4" s="144" t="s"/>
      <c r="AP4" s="144" t="s"/>
      <c r="AQ4" s="144" t="s"/>
      <c r="AR4" s="144" t="s"/>
      <c r="AS4" s="144" t="s"/>
      <c r="AT4" s="144" t="s"/>
      <c r="AU4" s="144" t="s"/>
      <c r="AV4" s="144" t="s"/>
    </row>
    <row r="5" spans="1:48" s="50" hidden="true">
      <c r="A5" s="145" t="s">
        <v>67</v>
      </c>
      <c r="B5" s="23" t="s"/>
      <c r="C5" s="23" t="s"/>
      <c r="D5" s="23" t="s"/>
      <c r="E5" s="23" t="s"/>
      <c r="F5" s="23" t="s"/>
      <c r="G5" s="23" t="s"/>
      <c r="H5" s="23" t="s"/>
      <c r="I5" s="23" t="s"/>
      <c r="J5" s="23" t="s"/>
      <c r="K5" s="23" t="s"/>
      <c r="L5" s="23" t="s"/>
      <c r="M5" s="23" t="s"/>
      <c r="N5" s="23" t="s"/>
      <c r="O5" s="23" t="s"/>
      <c r="P5" s="23" t="s"/>
      <c r="Q5" s="23" t="s"/>
      <c r="R5" s="23" t="s"/>
      <c r="S5" s="23" t="s"/>
      <c r="T5" s="23" t="s"/>
      <c r="U5" s="23" t="s"/>
      <c r="V5" s="23" t="s"/>
      <c r="W5" s="23" t="s"/>
      <c r="X5" s="23" t="s"/>
      <c r="Y5" s="50" t="s"/>
      <c r="Z5" s="23" t="s"/>
      <c r="AA5" s="23" t="s"/>
      <c r="AB5" s="23" t="s"/>
      <c r="AC5" s="23" t="s"/>
      <c r="AD5" s="23" t="s"/>
      <c r="AE5" s="23" t="s"/>
      <c r="AF5" s="23" t="s"/>
      <c r="AG5" s="23" t="s"/>
      <c r="AH5" s="50" t="s"/>
      <c r="AI5" s="23" t="s"/>
      <c r="AJ5" s="23" t="s"/>
      <c r="AK5" s="23" t="s"/>
      <c r="AL5" s="23" t="s"/>
      <c r="AM5" s="144" t="s"/>
      <c r="AN5" s="144" t="s"/>
      <c r="AO5" s="144" t="s"/>
      <c r="AP5" s="144" t="s"/>
      <c r="AQ5" s="144" t="s"/>
      <c r="AR5" s="144" t="s"/>
      <c r="AS5" s="144" t="s"/>
      <c r="AT5" s="144" t="s"/>
      <c r="AU5" s="144" t="s"/>
      <c r="AV5" s="144" t="s"/>
    </row>
    <row r="6" spans="1:33" hidden="true">
      <c r="A6" t="s">
        <v>68</v>
      </c>
      <c r="B6" s="31" t="s">
        <v>67</v>
      </c>
      <c r="C6" s="31" t="s">
        <v>49</v>
      </c>
      <c r="D6" s="43">
        <v>0.698369</v>
      </c>
      <c r="E6" s="43">
        <v>0.717948</v>
      </c>
      <c r="F6" s="43">
        <v>0.536407</v>
      </c>
      <c r="G6" s="43">
        <v>0.895238</v>
      </c>
      <c r="H6" s="43">
        <v>0.692893</v>
      </c>
      <c r="I6" s="43">
        <v>0.694642</v>
      </c>
      <c r="J6" s="43">
        <v>0.690476</v>
      </c>
      <c r="K6" s="43">
        <v>0.725</v>
      </c>
      <c r="L6" s="43">
        <v>0.683593</v>
      </c>
      <c r="M6" s="43">
        <v>0.589226</v>
      </c>
      <c r="N6" s="33">
        <v>0.365854</v>
      </c>
      <c r="O6" s="33">
        <v>0.418919</v>
      </c>
      <c r="P6" s="33">
        <v>0.638461</v>
      </c>
      <c r="Q6" s="33">
        <v>0.627551</v>
      </c>
      <c r="R6" s="33">
        <v>0.630268</v>
      </c>
      <c r="S6" s="33">
        <v>0.977143</v>
      </c>
      <c r="T6" s="33">
        <v>0.967742</v>
      </c>
      <c r="U6" s="33">
        <v>0.975728</v>
      </c>
      <c r="V6" s="43">
        <v>0.022523</v>
      </c>
      <c r="W6" s="43">
        <v>0</v>
      </c>
      <c r="X6" s="43">
        <v>0.202703</v>
      </c>
      <c r="Y6" s="43" t="s"/>
      <c r="Z6" s="43">
        <v>0.204955</v>
      </c>
      <c r="AA6" s="43">
        <v>0.195946</v>
      </c>
      <c r="AB6" s="43">
        <v>0.027027</v>
      </c>
      <c r="AC6" s="43">
        <v>0.002252</v>
      </c>
      <c r="AD6" s="43">
        <v>0</v>
      </c>
      <c r="AE6" s="43">
        <v>0.006757</v>
      </c>
      <c r="AF6" s="43">
        <v>0.15991</v>
      </c>
      <c r="AG6" s="43">
        <v>0.177928</v>
      </c>
    </row>
    <row r="7" spans="1:33" hidden="true">
      <c r="A7" t="s">
        <v>69</v>
      </c>
      <c r="B7" s="31" t="s">
        <v>67</v>
      </c>
      <c r="C7" s="31" t="s">
        <v>49</v>
      </c>
      <c r="D7" s="43">
        <v>0.495923</v>
      </c>
      <c r="E7" s="43">
        <v>0.464387</v>
      </c>
      <c r="F7" s="43">
        <v>0.334951</v>
      </c>
      <c r="G7" s="43">
        <v>0.749206</v>
      </c>
      <c r="H7" s="43">
        <v>0.489847</v>
      </c>
      <c r="I7" s="43">
        <v>0.530357</v>
      </c>
      <c r="J7" s="43">
        <v>0.488095</v>
      </c>
      <c r="K7" s="43">
        <v>0.490625</v>
      </c>
      <c r="L7" s="43">
        <v>0.4375</v>
      </c>
      <c r="M7" s="33">
        <v>0.40404</v>
      </c>
      <c r="N7" s="33">
        <v>0.121951</v>
      </c>
      <c r="O7" s="33">
        <v>0.175676</v>
      </c>
      <c r="P7" s="33">
        <v>0.2</v>
      </c>
      <c r="Q7" s="33">
        <v>0.257653</v>
      </c>
      <c r="R7" s="33">
        <v>0.243295</v>
      </c>
      <c r="S7" s="33">
        <v>1</v>
      </c>
      <c r="T7" s="33">
        <v>0.76923</v>
      </c>
      <c r="U7" s="33">
        <v>0.977444</v>
      </c>
      <c r="V7" s="43">
        <v>0.532345</v>
      </c>
      <c r="W7" s="43">
        <v>0.004043</v>
      </c>
      <c r="X7" s="43">
        <v>0.101078</v>
      </c>
      <c r="Y7" s="43" t="s"/>
      <c r="Z7" s="43">
        <v>0.140162</v>
      </c>
      <c r="AA7" s="43">
        <v>0.084906</v>
      </c>
      <c r="AB7" s="43">
        <v>0.033693</v>
      </c>
      <c r="AC7" s="43">
        <v>0</v>
      </c>
      <c r="AD7" s="43">
        <v>0.002695</v>
      </c>
      <c r="AE7" s="43">
        <v>0.022911</v>
      </c>
      <c r="AF7" s="43">
        <v>0.02965</v>
      </c>
      <c r="AG7" s="43">
        <v>0.048518</v>
      </c>
    </row>
    <row r="8" spans="1:38" hidden="true">
      <c r="A8" t="s">
        <v>70</v>
      </c>
      <c r="B8" s="31" t="s">
        <v>67</v>
      </c>
      <c r="C8" s="31" t="s">
        <v>49</v>
      </c>
      <c r="D8" s="43">
        <v>0.529211</v>
      </c>
      <c r="E8" s="43">
        <v>0.578347</v>
      </c>
      <c r="F8" s="43">
        <v>0.441747</v>
      </c>
      <c r="G8" s="43">
        <v>0.55238</v>
      </c>
      <c r="H8" s="43">
        <v>0.558375</v>
      </c>
      <c r="I8" s="43">
        <v>0.569642</v>
      </c>
      <c r="J8" s="43">
        <v>0.517857</v>
      </c>
      <c r="K8" s="43">
        <v>0.50625</v>
      </c>
      <c r="L8" s="43">
        <v>0.484375</v>
      </c>
      <c r="M8" s="33">
        <v>0.457912</v>
      </c>
      <c r="N8" s="33">
        <v>0.439024</v>
      </c>
      <c r="O8" s="33">
        <v>0.378378</v>
      </c>
      <c r="P8" s="33">
        <v>0.692308</v>
      </c>
      <c r="Q8" s="33">
        <v>0.637755</v>
      </c>
      <c r="R8" s="33">
        <v>0.651341</v>
      </c>
      <c r="S8" s="33">
        <v>0.433823</v>
      </c>
      <c r="T8" s="33">
        <v>0.285714</v>
      </c>
      <c r="U8" s="33">
        <v>0.408537</v>
      </c>
      <c r="V8" s="43">
        <v>0.378066</v>
      </c>
      <c r="W8" s="43">
        <v>0.001443</v>
      </c>
      <c r="X8" s="43">
        <v>0.15873</v>
      </c>
      <c r="Y8" s="43" t="s"/>
      <c r="Z8" s="43">
        <v>0.193362</v>
      </c>
      <c r="AA8" s="43">
        <v>0.095238</v>
      </c>
      <c r="AB8" s="43">
        <v>0.002886</v>
      </c>
      <c r="AC8" s="43">
        <v>0</v>
      </c>
      <c r="AD8" s="43">
        <v>0.001443</v>
      </c>
      <c r="AE8" s="43">
        <v>0.008658</v>
      </c>
      <c r="AF8" s="43">
        <v>0.089466</v>
      </c>
      <c r="AG8" s="43">
        <v>0.070707</v>
      </c>
      <c r="AH8" s="33" t="s"/>
      <c r="AI8" s="33">
        <v>0.497959</v>
      </c>
      <c r="AJ8" s="33">
        <v>0</v>
      </c>
      <c r="AK8" s="33">
        <v>0</v>
      </c>
      <c r="AL8" s="33">
        <v>0.529212</v>
      </c>
    </row>
    <row r="9" spans="1:38" hidden="true">
      <c r="A9" t="s">
        <v>71</v>
      </c>
      <c r="B9" s="31" t="s">
        <v>67</v>
      </c>
      <c r="C9" s="31" t="s">
        <v>49</v>
      </c>
      <c r="D9" s="43">
        <v>0.503396</v>
      </c>
      <c r="E9" s="43">
        <v>0.555555</v>
      </c>
      <c r="F9" s="43">
        <v>0.427184</v>
      </c>
      <c r="G9" s="43">
        <v>0.549206</v>
      </c>
      <c r="H9" s="43">
        <v>0.5</v>
      </c>
      <c r="I9" s="43">
        <v>0.528571</v>
      </c>
      <c r="J9" s="43">
        <v>0.502976</v>
      </c>
      <c r="K9" s="43">
        <v>0.471875</v>
      </c>
      <c r="L9" s="43">
        <v>0.488281</v>
      </c>
      <c r="M9" s="33">
        <v>0.451178</v>
      </c>
      <c r="N9" s="33">
        <v>0.414634</v>
      </c>
      <c r="O9" s="33">
        <v>0.337838</v>
      </c>
      <c r="P9" s="33">
        <v>0.523077</v>
      </c>
      <c r="Q9" s="33">
        <v>0.512755</v>
      </c>
      <c r="R9" s="33">
        <v>0.515326</v>
      </c>
      <c r="S9" s="33">
        <v>0.910448</v>
      </c>
      <c r="T9" s="33">
        <v>0.88</v>
      </c>
      <c r="U9" s="33">
        <v>0.90566</v>
      </c>
      <c r="V9" s="43">
        <v>0.328317</v>
      </c>
      <c r="W9" s="43">
        <v>0.008208</v>
      </c>
      <c r="X9" s="43">
        <v>0.194254</v>
      </c>
      <c r="Y9" s="43" t="s"/>
      <c r="Z9" s="43">
        <v>0.170999</v>
      </c>
      <c r="AA9" s="43">
        <v>0.105335</v>
      </c>
      <c r="AB9" s="43">
        <v>0.015048</v>
      </c>
      <c r="AC9" s="43">
        <v>0</v>
      </c>
      <c r="AD9" s="43">
        <v>0.002736</v>
      </c>
      <c r="AE9" s="43">
        <v>0.008208</v>
      </c>
      <c r="AF9" s="43">
        <v>0.088919</v>
      </c>
      <c r="AG9" s="43">
        <v>0.077975</v>
      </c>
      <c r="AH9" s="33" t="s"/>
      <c r="AI9" s="33">
        <v>0.440816</v>
      </c>
      <c r="AJ9" s="33">
        <v>0</v>
      </c>
      <c r="AK9" s="33">
        <v>0</v>
      </c>
      <c r="AL9" s="33">
        <v>0.503397</v>
      </c>
    </row>
    <row r="10" spans="1:33" hidden="true">
      <c r="A10" t="s">
        <v>72</v>
      </c>
      <c r="B10" s="31" t="s">
        <v>67</v>
      </c>
      <c r="C10" s="31" t="s">
        <v>44</v>
      </c>
      <c r="D10" s="43">
        <v>0.823369</v>
      </c>
      <c r="E10" s="43">
        <v>0.849002</v>
      </c>
      <c r="F10" s="43">
        <v>0.713592</v>
      </c>
      <c r="G10" s="43">
        <v>0.955555</v>
      </c>
      <c r="H10" s="43">
        <v>0.809644</v>
      </c>
      <c r="I10" s="43">
        <v>0.857142</v>
      </c>
      <c r="J10" s="43">
        <v>0.82738</v>
      </c>
      <c r="K10" s="43">
        <v>0.83125</v>
      </c>
      <c r="L10" s="43">
        <v>0.734375</v>
      </c>
      <c r="M10" s="33">
        <v>0.73064</v>
      </c>
      <c r="N10" s="33">
        <v>0.658537</v>
      </c>
      <c r="O10" s="33">
        <v>0.675676</v>
      </c>
      <c r="P10" s="33">
        <v>0.807692</v>
      </c>
      <c r="Q10" s="33">
        <v>0.818878</v>
      </c>
      <c r="R10" s="33">
        <v>0.816092</v>
      </c>
      <c r="S10" s="33">
        <v>0.958525</v>
      </c>
      <c r="T10" s="33">
        <v>0.96</v>
      </c>
      <c r="U10" s="33">
        <v>0.958801</v>
      </c>
      <c r="V10" s="43">
        <v>0.046154</v>
      </c>
      <c r="W10" s="43">
        <v>0</v>
      </c>
      <c r="X10" s="43">
        <v>0.130769</v>
      </c>
      <c r="Y10" s="43" t="s"/>
      <c r="Z10" s="43">
        <v>0.180769</v>
      </c>
      <c r="AA10" s="43">
        <v>0.265385</v>
      </c>
      <c r="AB10" s="43">
        <v>0.007692</v>
      </c>
      <c r="AC10" s="43">
        <v>0</v>
      </c>
      <c r="AD10" s="43">
        <v>0.011539</v>
      </c>
      <c r="AE10" s="43">
        <v>0.023077</v>
      </c>
      <c r="AF10" s="33">
        <v>0.092308</v>
      </c>
      <c r="AG10" s="43">
        <v>0.242308</v>
      </c>
    </row>
    <row r="11" spans="1:33" hidden="true">
      <c r="A11" t="s">
        <v>73</v>
      </c>
      <c r="B11" s="31" t="s">
        <v>67</v>
      </c>
      <c r="C11" s="31" t="s">
        <v>44</v>
      </c>
      <c r="D11" s="43">
        <v>0.766304</v>
      </c>
      <c r="E11" s="43">
        <v>0.752136</v>
      </c>
      <c r="F11" s="43">
        <v>0.667475</v>
      </c>
      <c r="G11" s="43">
        <v>0.95238</v>
      </c>
      <c r="H11" s="43">
        <v>0.733502</v>
      </c>
      <c r="I11" s="43">
        <v>0.7875</v>
      </c>
      <c r="J11" s="43">
        <v>0.76488</v>
      </c>
      <c r="K11" s="43">
        <v>0.753125</v>
      </c>
      <c r="L11" s="43">
        <v>0.738281</v>
      </c>
      <c r="M11" s="33">
        <v>0.710438</v>
      </c>
      <c r="N11" s="33">
        <v>0.512195</v>
      </c>
      <c r="O11" s="33">
        <v>0.581081</v>
      </c>
      <c r="P11" s="33">
        <v>0.661538</v>
      </c>
      <c r="Q11" s="33">
        <v>0.701531</v>
      </c>
      <c r="R11" s="33">
        <v>0.691571</v>
      </c>
      <c r="S11" s="33">
        <v>0.981043</v>
      </c>
      <c r="T11" s="33">
        <v>0.930232</v>
      </c>
      <c r="U11" s="33">
        <v>0.972441</v>
      </c>
      <c r="V11" s="43">
        <v>0.093023</v>
      </c>
      <c r="W11" s="43">
        <v>0.002907</v>
      </c>
      <c r="X11" s="43">
        <v>0.113372</v>
      </c>
      <c r="Y11" s="43" t="s"/>
      <c r="Z11" s="43">
        <v>0.209302</v>
      </c>
      <c r="AA11" s="43">
        <v>0.255814</v>
      </c>
      <c r="AB11" s="43">
        <v>0.017442</v>
      </c>
      <c r="AC11" s="43">
        <v>0.005814</v>
      </c>
      <c r="AD11" s="43">
        <v>0.023256</v>
      </c>
      <c r="AE11" s="43">
        <v>0.020349</v>
      </c>
      <c r="AF11" s="43">
        <v>0.072674</v>
      </c>
      <c r="AG11" s="43">
        <v>0.186047</v>
      </c>
    </row>
    <row r="12" spans="1:33" hidden="true">
      <c r="A12" s="35" t="s">
        <v>74</v>
      </c>
      <c r="B12" s="31" t="s">
        <v>67</v>
      </c>
      <c r="C12" s="31" t="s">
        <v>44</v>
      </c>
      <c r="D12" s="43">
        <v>0.764266</v>
      </c>
      <c r="E12" s="43">
        <v>0.829059</v>
      </c>
      <c r="F12" s="43">
        <v>0.631067</v>
      </c>
      <c r="G12" s="43">
        <v>0.879365</v>
      </c>
      <c r="H12" s="43">
        <v>0.753807</v>
      </c>
      <c r="I12" s="43">
        <v>0.776785</v>
      </c>
      <c r="J12" s="43">
        <v>0.779761</v>
      </c>
      <c r="K12" s="43">
        <v>0.753125</v>
      </c>
      <c r="L12" s="43">
        <v>0.730468</v>
      </c>
      <c r="M12" s="33">
        <v>0.676768</v>
      </c>
      <c r="N12" s="33">
        <v>0.463415</v>
      </c>
      <c r="O12" s="33">
        <v>0.540541</v>
      </c>
      <c r="P12" s="33">
        <v>0.638461</v>
      </c>
      <c r="Q12" s="33">
        <v>0.663265</v>
      </c>
      <c r="R12" s="33">
        <v>0.657088</v>
      </c>
      <c r="S12" s="33">
        <v>0.985075</v>
      </c>
      <c r="T12" s="33">
        <v>0.975</v>
      </c>
      <c r="U12" s="33">
        <v>0.983402</v>
      </c>
      <c r="V12" s="43">
        <v>0.017291</v>
      </c>
      <c r="W12" s="43">
        <v>0.014409</v>
      </c>
      <c r="X12" s="43">
        <v>0.167147</v>
      </c>
      <c r="Y12" s="43" t="s"/>
      <c r="Z12" s="43">
        <v>0.195965</v>
      </c>
      <c r="AA12" s="43">
        <v>0.29683</v>
      </c>
      <c r="AB12" s="43">
        <v>0.014409</v>
      </c>
      <c r="AC12" s="43">
        <v>0.002882</v>
      </c>
      <c r="AD12" s="43">
        <v>0.020173</v>
      </c>
      <c r="AE12" s="43">
        <v>0.025937</v>
      </c>
      <c r="AF12" s="43">
        <v>0.072046</v>
      </c>
      <c r="AG12" s="43">
        <v>0.172911</v>
      </c>
    </row>
    <row r="13" spans="1:48" s="50" hidden="true">
      <c r="A13" s="145" t="s">
        <v>75</v>
      </c>
      <c r="B13" s="23" t="s"/>
      <c r="C13" s="23" t="s"/>
      <c r="D13" s="23" t="s"/>
      <c r="E13" s="23" t="s"/>
      <c r="F13" s="23" t="s"/>
      <c r="G13" s="23" t="s"/>
      <c r="H13" s="23" t="s"/>
      <c r="I13" s="23" t="s"/>
      <c r="J13" s="23" t="s"/>
      <c r="K13" s="23" t="s"/>
      <c r="L13" s="23" t="s"/>
      <c r="M13" s="23" t="s"/>
      <c r="N13" s="23" t="s"/>
      <c r="O13" s="23" t="s"/>
      <c r="P13" s="23" t="s"/>
      <c r="Q13" s="23" t="s"/>
      <c r="R13" s="23" t="s"/>
      <c r="S13" s="23" t="s"/>
      <c r="T13" s="23" t="s"/>
      <c r="U13" s="23" t="s"/>
      <c r="V13" s="23" t="s"/>
      <c r="W13" s="23" t="s"/>
      <c r="X13" s="23" t="s"/>
      <c r="Y13" s="50" t="s"/>
      <c r="Z13" s="23" t="s"/>
      <c r="AA13" s="23" t="s"/>
      <c r="AB13" s="23" t="s"/>
      <c r="AC13" s="23" t="s"/>
      <c r="AD13" s="23" t="s"/>
      <c r="AE13" s="23" t="s"/>
      <c r="AF13" s="23" t="s"/>
      <c r="AG13" s="23" t="s"/>
      <c r="AH13" s="50" t="s"/>
      <c r="AI13" s="23" t="s"/>
      <c r="AJ13" s="23" t="s"/>
      <c r="AK13" s="23" t="s"/>
      <c r="AL13" s="23" t="s"/>
      <c r="AM13" s="144" t="s"/>
      <c r="AN13" s="144" t="s"/>
      <c r="AO13" s="144" t="s"/>
      <c r="AP13" s="144" t="s"/>
      <c r="AQ13" s="144" t="s"/>
      <c r="AR13" s="144" t="s"/>
      <c r="AS13" s="144" t="s"/>
      <c r="AT13" s="144" t="s"/>
      <c r="AU13" s="144" t="s"/>
      <c r="AV13" s="144" t="s"/>
    </row>
    <row r="14" spans="1:33" hidden="true">
      <c r="A14" t="s">
        <v>76</v>
      </c>
      <c r="B14" s="31" t="s">
        <v>75</v>
      </c>
      <c r="C14" s="31" t="s">
        <v>49</v>
      </c>
      <c r="D14" s="43">
        <v>0.54076</v>
      </c>
      <c r="E14" s="43">
        <v>0.42735</v>
      </c>
      <c r="F14" s="43">
        <v>0.354368</v>
      </c>
      <c r="G14" s="43">
        <v>0.933333</v>
      </c>
      <c r="H14" s="43">
        <v>0.522842</v>
      </c>
      <c r="I14" s="43">
        <v>0.573214</v>
      </c>
      <c r="J14" s="43">
        <v>0.550595</v>
      </c>
      <c r="K14" s="43">
        <v>0.553125</v>
      </c>
      <c r="L14" s="43">
        <v>0.441406</v>
      </c>
      <c r="M14" s="33">
        <v>0.451178</v>
      </c>
      <c r="N14" s="33">
        <v>0.073171</v>
      </c>
      <c r="O14" s="33">
        <v>0.121622</v>
      </c>
      <c r="P14" s="33">
        <v>0.184615</v>
      </c>
      <c r="Q14" s="33">
        <v>0.244898</v>
      </c>
      <c r="R14" s="33">
        <v>0.229885</v>
      </c>
      <c r="S14" s="33">
        <v>0.985075</v>
      </c>
      <c r="T14" s="33">
        <v>0.999999</v>
      </c>
      <c r="U14" s="33">
        <v>0.986014</v>
      </c>
      <c r="V14" s="43">
        <v>0.418639</v>
      </c>
      <c r="W14" s="43">
        <v>0</v>
      </c>
      <c r="X14" s="43">
        <v>0.162722</v>
      </c>
      <c r="Y14" s="43" t="s"/>
      <c r="Z14" s="43">
        <v>0.171598</v>
      </c>
      <c r="AA14" s="43">
        <v>0.107988</v>
      </c>
      <c r="AB14" s="43">
        <v>0.031065</v>
      </c>
      <c r="AC14" s="43">
        <v>0</v>
      </c>
      <c r="AD14" s="43">
        <v>0</v>
      </c>
      <c r="AE14" s="43">
        <v>0.001479</v>
      </c>
      <c r="AF14" s="43">
        <v>0.031065</v>
      </c>
      <c r="AG14" s="33">
        <v>0.075444</v>
      </c>
    </row>
    <row r="15" spans="1:33" hidden="true">
      <c r="A15" t="s">
        <v>77</v>
      </c>
      <c r="B15" s="31" t="s">
        <v>75</v>
      </c>
      <c r="C15" s="31" t="s">
        <v>49</v>
      </c>
      <c r="D15" s="43">
        <v>0.273777</v>
      </c>
      <c r="E15" s="43">
        <v>0.196581</v>
      </c>
      <c r="F15" s="43">
        <v>0.043689</v>
      </c>
      <c r="G15" s="43">
        <v>0.879365</v>
      </c>
      <c r="H15" s="43">
        <v>0.098984</v>
      </c>
      <c r="I15" s="43">
        <v>0.2375</v>
      </c>
      <c r="J15" s="43">
        <v>0.330357</v>
      </c>
      <c r="K15" s="43">
        <v>0.2875</v>
      </c>
      <c r="L15" s="43">
        <v>0.261718</v>
      </c>
      <c r="M15" s="43">
        <v>0.057239</v>
      </c>
      <c r="N15" s="33">
        <v>0</v>
      </c>
      <c r="O15" s="33">
        <v>0.013514</v>
      </c>
      <c r="P15" s="33">
        <v>0.084615</v>
      </c>
      <c r="Q15" s="33">
        <v>0.15051</v>
      </c>
      <c r="R15" s="33">
        <v>0.1341</v>
      </c>
      <c r="S15" s="33">
        <v>0.823529</v>
      </c>
      <c r="T15" s="33">
        <v>0.99999</v>
      </c>
      <c r="U15" s="33">
        <v>0.833333</v>
      </c>
      <c r="V15" s="43">
        <v>0.203929</v>
      </c>
      <c r="W15" s="43">
        <v>0.000935</v>
      </c>
      <c r="X15" s="43">
        <v>0.229186</v>
      </c>
      <c r="Y15" s="43" t="s"/>
      <c r="Z15" s="43">
        <v>0.43218</v>
      </c>
      <c r="AA15" s="43">
        <v>0.073901</v>
      </c>
      <c r="AB15" s="43">
        <v>0.033676</v>
      </c>
      <c r="AC15" s="43">
        <v>0.000935</v>
      </c>
      <c r="AD15" s="43">
        <v>0.000935</v>
      </c>
      <c r="AE15" s="43">
        <v>0.000935</v>
      </c>
      <c r="AF15" s="43">
        <v>0.014967</v>
      </c>
      <c r="AG15" s="43">
        <v>0.008419</v>
      </c>
    </row>
    <row r="16" spans="1:33" hidden="true">
      <c r="A16" t="s">
        <v>78</v>
      </c>
      <c r="B16" s="31" t="s">
        <v>75</v>
      </c>
      <c r="C16" s="31" t="s">
        <v>49</v>
      </c>
      <c r="D16" s="43">
        <v>0.255434</v>
      </c>
      <c r="E16" s="43">
        <v>0.074074</v>
      </c>
      <c r="F16" s="43">
        <v>0.041262</v>
      </c>
      <c r="G16" s="43">
        <v>0.942857</v>
      </c>
      <c r="H16" s="43">
        <v>0.09137</v>
      </c>
      <c r="I16" s="43">
        <v>0.208928</v>
      </c>
      <c r="J16" s="43">
        <v>0.291666</v>
      </c>
      <c r="K16" s="43">
        <v>0.26875</v>
      </c>
      <c r="L16" s="33">
        <v>0.292968</v>
      </c>
      <c r="M16" s="33">
        <v>0.057239</v>
      </c>
      <c r="N16" s="33">
        <v>0</v>
      </c>
      <c r="O16" s="33">
        <v>0</v>
      </c>
      <c r="P16" s="33">
        <v>0.069231</v>
      </c>
      <c r="Q16" s="33">
        <v>0.048469</v>
      </c>
      <c r="R16" s="33">
        <v>0.05364</v>
      </c>
      <c r="S16" s="33">
        <v>0.882352</v>
      </c>
      <c r="T16" s="33">
        <v>0</v>
      </c>
      <c r="U16" s="33">
        <v>0.882352</v>
      </c>
      <c r="V16" s="43">
        <v>0.218066</v>
      </c>
      <c r="W16" s="43">
        <v>0.002737</v>
      </c>
      <c r="X16" s="43">
        <v>0.140511</v>
      </c>
      <c r="Y16" s="43" t="s"/>
      <c r="Z16" s="43">
        <v>0.548358</v>
      </c>
      <c r="AA16" s="43">
        <v>0.052007</v>
      </c>
      <c r="AB16" s="43">
        <v>0.032847</v>
      </c>
      <c r="AC16" s="43">
        <v>0</v>
      </c>
      <c r="AD16" s="43">
        <v>0</v>
      </c>
      <c r="AE16" s="43">
        <v>0</v>
      </c>
      <c r="AF16" s="43">
        <v>0.002737</v>
      </c>
      <c r="AG16" s="43">
        <v>0.002737</v>
      </c>
    </row>
    <row r="17" spans="1:38" hidden="true">
      <c r="A17" t="s">
        <v>79</v>
      </c>
      <c r="B17" s="31" t="s">
        <v>75</v>
      </c>
      <c r="C17" s="31" t="s">
        <v>49</v>
      </c>
      <c r="D17" s="43">
        <v>0.487771</v>
      </c>
      <c r="E17" s="43">
        <v>0.367521</v>
      </c>
      <c r="F17" s="43">
        <v>0.245145</v>
      </c>
      <c r="G17" s="43">
        <v>0.946031</v>
      </c>
      <c r="H17" s="43">
        <v>0.482233</v>
      </c>
      <c r="I17" s="43">
        <v>0.555357</v>
      </c>
      <c r="J17" s="43">
        <v>0.491071</v>
      </c>
      <c r="K17" s="43">
        <v>0.46875</v>
      </c>
      <c r="L17" s="33">
        <v>0.359375</v>
      </c>
      <c r="M17" s="33">
        <v>0.340067</v>
      </c>
      <c r="N17" s="33">
        <v>0</v>
      </c>
      <c r="O17" s="33">
        <v>0</v>
      </c>
      <c r="P17" s="33">
        <v>0.2</v>
      </c>
      <c r="Q17" s="33">
        <v>0.145408</v>
      </c>
      <c r="R17" s="33">
        <v>0.159004</v>
      </c>
      <c r="S17" s="33">
        <v>0.990099</v>
      </c>
      <c r="T17" s="33">
        <v>0</v>
      </c>
      <c r="U17" s="33">
        <v>0.990099</v>
      </c>
      <c r="V17" s="43">
        <v>0.450928</v>
      </c>
      <c r="W17" s="43">
        <v>0</v>
      </c>
      <c r="X17" s="43">
        <v>0.11008</v>
      </c>
      <c r="Y17" s="43" t="s"/>
      <c r="Z17" s="43">
        <v>0.202918</v>
      </c>
      <c r="AA17" s="43">
        <v>0.148541</v>
      </c>
      <c r="AB17" s="43">
        <v>0.007958</v>
      </c>
      <c r="AC17" s="43">
        <v>0</v>
      </c>
      <c r="AD17" s="43">
        <v>0.001326</v>
      </c>
      <c r="AE17" s="43">
        <v>0.002653</v>
      </c>
      <c r="AF17" s="43">
        <v>0.026525</v>
      </c>
      <c r="AG17" s="43">
        <v>0.049072</v>
      </c>
      <c r="AH17" s="33" t="s"/>
      <c r="AI17" s="33">
        <v>0.397959</v>
      </c>
      <c r="AJ17" s="33">
        <v>0</v>
      </c>
      <c r="AK17" s="33">
        <v>0</v>
      </c>
      <c r="AL17" s="33">
        <v>0.487772</v>
      </c>
    </row>
    <row r="18" spans="1:38" hidden="true">
      <c r="A18" s="51" t="s">
        <v>80</v>
      </c>
      <c r="B18" s="31" t="s">
        <v>75</v>
      </c>
      <c r="C18" s="31" t="s">
        <v>49</v>
      </c>
      <c r="D18" s="43">
        <v>0.491847</v>
      </c>
      <c r="E18" s="43">
        <v>0.361823</v>
      </c>
      <c r="F18" s="43">
        <v>0.28398</v>
      </c>
      <c r="G18" s="43">
        <v>0.987301</v>
      </c>
      <c r="H18" s="43">
        <v>0.428934</v>
      </c>
      <c r="I18" s="43">
        <v>0.485714</v>
      </c>
      <c r="J18" s="43">
        <v>0.494047</v>
      </c>
      <c r="K18" s="43">
        <v>0.490625</v>
      </c>
      <c r="L18" s="33">
        <v>0.503906</v>
      </c>
      <c r="M18" s="33">
        <v>0.3367</v>
      </c>
      <c r="N18" s="33">
        <v>0.195122</v>
      </c>
      <c r="O18" s="33">
        <v>0.121622</v>
      </c>
      <c r="P18" s="33">
        <v>0.353846</v>
      </c>
      <c r="Q18" s="33">
        <v>0.211735</v>
      </c>
      <c r="R18" s="33">
        <v>0.247126</v>
      </c>
      <c r="S18" s="33">
        <v>0.94</v>
      </c>
      <c r="T18" s="33">
        <v>0.888888</v>
      </c>
      <c r="U18" s="33">
        <v>0.93578</v>
      </c>
      <c r="V18" s="43">
        <v>0.479947</v>
      </c>
      <c r="W18" s="43">
        <v>0</v>
      </c>
      <c r="X18" s="43">
        <v>0.108289</v>
      </c>
      <c r="Y18" s="43" t="s"/>
      <c r="Z18" s="43">
        <v>0.159091</v>
      </c>
      <c r="AA18" s="43">
        <v>0.102941</v>
      </c>
      <c r="AB18" s="43">
        <v>0.009358</v>
      </c>
      <c r="AC18" s="43">
        <v>0.085562</v>
      </c>
      <c r="AD18" s="43">
        <v>0.016043</v>
      </c>
      <c r="AE18" s="43">
        <v>0.002674</v>
      </c>
      <c r="AF18" s="43">
        <v>0.002674</v>
      </c>
      <c r="AG18" s="43">
        <v>0.033423</v>
      </c>
      <c r="AH18" s="33" t="s"/>
      <c r="AI18" s="33">
        <v>0.438776</v>
      </c>
      <c r="AJ18" s="33">
        <v>0</v>
      </c>
      <c r="AK18" s="33">
        <v>0</v>
      </c>
      <c r="AL18" s="33">
        <v>0.491848</v>
      </c>
    </row>
    <row r="19" spans="1:38" hidden="true">
      <c r="A19" s="51" t="s">
        <v>81</v>
      </c>
      <c r="B19" s="31" t="s">
        <v>75</v>
      </c>
      <c r="C19" s="31" t="s">
        <v>49</v>
      </c>
      <c r="D19" s="43">
        <v>0.321331</v>
      </c>
      <c r="E19" s="43">
        <v>0.131054</v>
      </c>
      <c r="F19" s="43">
        <v>0.116504</v>
      </c>
      <c r="G19" s="43">
        <v>0.984126</v>
      </c>
      <c r="H19" s="43">
        <v>0.175126</v>
      </c>
      <c r="I19" s="43">
        <v>0.275</v>
      </c>
      <c r="J19" s="43">
        <v>0.32738</v>
      </c>
      <c r="K19" s="43">
        <v>0.3625</v>
      </c>
      <c r="L19" s="33">
        <v>0.363281</v>
      </c>
      <c r="M19" s="33">
        <v>0.13468</v>
      </c>
      <c r="N19" s="33">
        <v>0.146341</v>
      </c>
      <c r="O19" s="33">
        <v>0.027027</v>
      </c>
      <c r="P19" s="33">
        <v>0.2</v>
      </c>
      <c r="Q19" s="33">
        <v>0.068878</v>
      </c>
      <c r="R19" s="33">
        <v>0.101533</v>
      </c>
      <c r="S19" s="33">
        <v>0.9</v>
      </c>
      <c r="T19" s="33">
        <v>0.999995</v>
      </c>
      <c r="U19" s="33">
        <v>0.904762</v>
      </c>
      <c r="V19" s="43">
        <v>0.595596</v>
      </c>
      <c r="W19" s="43">
        <v>0.001001</v>
      </c>
      <c r="X19" s="43">
        <v>0.04004</v>
      </c>
      <c r="Y19" s="43" t="s"/>
      <c r="Z19" s="43">
        <v>0.307307</v>
      </c>
      <c r="AA19" s="43">
        <v>0.026026</v>
      </c>
      <c r="AB19" s="43">
        <v>0.003003</v>
      </c>
      <c r="AC19" s="43">
        <v>0.007007</v>
      </c>
      <c r="AD19" s="43">
        <v>0</v>
      </c>
      <c r="AE19" s="43">
        <v>0.001001</v>
      </c>
      <c r="AF19" s="43">
        <v>0.001001</v>
      </c>
      <c r="AG19" s="43">
        <v>0.018018</v>
      </c>
      <c r="AH19" s="33" t="s"/>
      <c r="AI19" s="33">
        <v>0.328571</v>
      </c>
      <c r="AJ19" s="33">
        <v>0</v>
      </c>
      <c r="AK19" s="33">
        <v>0</v>
      </c>
      <c r="AL19" s="33">
        <v>0.321332</v>
      </c>
    </row>
    <row r="20" spans="1:38" hidden="true">
      <c r="A20" s="51" t="s">
        <v>82</v>
      </c>
      <c r="B20" s="31" t="s">
        <v>75</v>
      </c>
      <c r="C20" s="31" t="s">
        <v>49</v>
      </c>
      <c r="D20" s="43">
        <v>0.239809</v>
      </c>
      <c r="E20" s="43">
        <v>0.094017</v>
      </c>
      <c r="F20" s="43">
        <v>0.026699</v>
      </c>
      <c r="G20" s="43">
        <v>0.961904</v>
      </c>
      <c r="H20" s="43">
        <v>0.015228</v>
      </c>
      <c r="I20" s="43">
        <v>0.178571</v>
      </c>
      <c r="J20" s="43">
        <v>0.276785</v>
      </c>
      <c r="K20" s="43">
        <v>0.284375</v>
      </c>
      <c r="L20" s="33">
        <v>0.269531</v>
      </c>
      <c r="M20" s="33">
        <v>0.037037</v>
      </c>
      <c r="N20" s="33">
        <v>0</v>
      </c>
      <c r="O20" s="33">
        <v>0</v>
      </c>
      <c r="P20" s="33">
        <v>0.038462</v>
      </c>
      <c r="Q20" s="33">
        <v>0.010204</v>
      </c>
      <c r="R20" s="33">
        <v>0.017241</v>
      </c>
      <c r="S20" s="33">
        <v>0.999999</v>
      </c>
      <c r="T20" s="33">
        <v>0</v>
      </c>
      <c r="U20" s="33">
        <v>0.999999</v>
      </c>
      <c r="V20" s="43">
        <v>0.619303</v>
      </c>
      <c r="W20" s="43">
        <v>0.000894</v>
      </c>
      <c r="X20" s="43">
        <v>0.030384</v>
      </c>
      <c r="Y20" s="43" t="s"/>
      <c r="Z20" s="43">
        <v>0.33244</v>
      </c>
      <c r="AA20" s="43">
        <v>0.007149</v>
      </c>
      <c r="AB20" s="43">
        <v>0</v>
      </c>
      <c r="AC20" s="43">
        <v>0.003575</v>
      </c>
      <c r="AD20" s="43">
        <v>0</v>
      </c>
      <c r="AE20" s="43">
        <v>0</v>
      </c>
      <c r="AF20" s="43">
        <v>0</v>
      </c>
      <c r="AG20" s="43">
        <v>0.006256</v>
      </c>
      <c r="AH20" s="33" t="s"/>
      <c r="AI20" s="33">
        <v>0.285714</v>
      </c>
      <c r="AJ20" s="33">
        <v>0</v>
      </c>
      <c r="AK20" s="33">
        <v>0</v>
      </c>
      <c r="AL20" s="33">
        <v>0.23981</v>
      </c>
    </row>
    <row r="21" spans="1:38" hidden="true">
      <c r="A21" s="51" t="s">
        <v>83</v>
      </c>
      <c r="B21" s="31" t="s">
        <v>75</v>
      </c>
      <c r="C21" s="31" t="s">
        <v>49</v>
      </c>
      <c r="D21" s="43">
        <v>0.219429</v>
      </c>
      <c r="E21" s="43">
        <v>0.019943</v>
      </c>
      <c r="F21" s="43">
        <v>0.009708</v>
      </c>
      <c r="G21" s="43">
        <v>0.961904</v>
      </c>
      <c r="H21" s="43">
        <v>0.022842</v>
      </c>
      <c r="I21" s="43">
        <v>0.1625</v>
      </c>
      <c r="J21" s="43">
        <v>0.255952</v>
      </c>
      <c r="K21" s="43">
        <v>0.259375</v>
      </c>
      <c r="L21" s="33">
        <v>0.246093</v>
      </c>
      <c r="M21" s="33">
        <v>0.013468</v>
      </c>
      <c r="N21" s="33">
        <v>0</v>
      </c>
      <c r="O21" s="33">
        <v>0</v>
      </c>
      <c r="P21" s="33">
        <v>0.2</v>
      </c>
      <c r="Q21" s="33">
        <v>0.022959</v>
      </c>
      <c r="R21" s="33">
        <v>0.06705</v>
      </c>
      <c r="S21" s="33">
        <v>0.999998</v>
      </c>
      <c r="T21" s="33">
        <v>0</v>
      </c>
      <c r="U21" s="33">
        <v>0.999998</v>
      </c>
      <c r="V21" s="43">
        <v>0.403829</v>
      </c>
      <c r="W21" s="43">
        <v>0.003481</v>
      </c>
      <c r="X21" s="43">
        <v>0.068755</v>
      </c>
      <c r="Y21" s="43" t="s"/>
      <c r="Z21" s="43">
        <v>0.363795</v>
      </c>
      <c r="AA21" s="43">
        <v>0.074848</v>
      </c>
      <c r="AB21" s="43">
        <v>0.004352</v>
      </c>
      <c r="AC21" s="43">
        <v>0.073107</v>
      </c>
      <c r="AD21" s="43">
        <v>0.005222</v>
      </c>
      <c r="AE21" s="43">
        <v>0.00087</v>
      </c>
      <c r="AF21" s="43">
        <v>0.00087</v>
      </c>
      <c r="AG21" s="43">
        <v>0.00087</v>
      </c>
      <c r="AH21" s="33" t="s"/>
      <c r="AI21" s="33">
        <v>0.232653</v>
      </c>
      <c r="AJ21" s="33">
        <v>0</v>
      </c>
      <c r="AK21" s="33">
        <v>0</v>
      </c>
      <c r="AL21" s="33">
        <v>0.219429</v>
      </c>
    </row>
    <row r="22" spans="1:48" s="50" hidden="true">
      <c r="A22" s="145" t="s">
        <v>84</v>
      </c>
      <c r="B22" s="23" t="s"/>
      <c r="C22" s="23" t="s"/>
      <c r="D22" s="23" t="s"/>
      <c r="E22" s="23" t="s"/>
      <c r="F22" s="23" t="s"/>
      <c r="G22" s="23" t="s"/>
      <c r="H22" s="23" t="s"/>
      <c r="I22" s="23" t="s"/>
      <c r="J22" s="23" t="s"/>
      <c r="K22" s="23" t="s"/>
      <c r="L22" s="23" t="s"/>
      <c r="M22" s="23" t="s"/>
      <c r="N22" s="23" t="s"/>
      <c r="O22" s="23" t="s"/>
      <c r="P22" s="23" t="s"/>
      <c r="Q22" s="23" t="s"/>
      <c r="R22" s="23" t="s"/>
      <c r="S22" s="23" t="s"/>
      <c r="T22" s="23" t="s"/>
      <c r="U22" s="23" t="s"/>
      <c r="V22" s="23" t="s"/>
      <c r="W22" s="23" t="s"/>
      <c r="X22" s="23" t="s"/>
      <c r="Y22" s="50" t="s"/>
      <c r="Z22" s="23" t="s"/>
      <c r="AA22" s="23" t="s"/>
      <c r="AB22" s="23" t="s"/>
      <c r="AC22" s="23" t="s"/>
      <c r="AD22" s="23" t="s"/>
      <c r="AE22" s="23" t="s"/>
      <c r="AF22" s="23" t="s"/>
      <c r="AG22" s="23" t="s"/>
      <c r="AH22" s="50" t="s"/>
      <c r="AI22" s="23" t="s"/>
      <c r="AJ22" s="23" t="s"/>
      <c r="AK22" s="23" t="s"/>
      <c r="AL22" s="23" t="s"/>
      <c r="AM22" s="144" t="s"/>
      <c r="AN22" s="144" t="s"/>
      <c r="AO22" s="144" t="s"/>
      <c r="AP22" s="144" t="s"/>
      <c r="AQ22" s="144" t="s"/>
      <c r="AR22" s="144" t="s"/>
      <c r="AS22" s="144" t="s"/>
      <c r="AT22" s="144" t="s"/>
      <c r="AU22" s="144" t="s"/>
      <c r="AV22" s="144" t="s"/>
    </row>
    <row r="23" spans="1:33" hidden="true">
      <c r="A23" t="s">
        <v>85</v>
      </c>
      <c r="B23" s="31" t="s">
        <v>84</v>
      </c>
      <c r="C23" s="31" t="s">
        <v>49</v>
      </c>
      <c r="D23" s="43">
        <v>0.172554</v>
      </c>
      <c r="E23" s="43">
        <v>0.404558</v>
      </c>
      <c r="F23" s="43">
        <v>0.031553</v>
      </c>
      <c r="G23" s="43">
        <v>0.314285</v>
      </c>
      <c r="H23" s="43">
        <v>0</v>
      </c>
      <c r="I23" s="43">
        <v>0.176785</v>
      </c>
      <c r="J23" s="43">
        <v>0.181547</v>
      </c>
      <c r="K23" s="43">
        <v>0.165625</v>
      </c>
      <c r="L23" s="43">
        <v>0.160156</v>
      </c>
      <c r="M23" s="43">
        <v>0.043771</v>
      </c>
      <c r="N23" s="33">
        <v>0</v>
      </c>
      <c r="O23" s="33">
        <v>0</v>
      </c>
      <c r="P23" s="33">
        <v>0.292308</v>
      </c>
      <c r="Q23" s="33">
        <v>0.112245</v>
      </c>
      <c r="R23" s="33">
        <v>0.157088</v>
      </c>
      <c r="S23" s="33">
        <v>0</v>
      </c>
      <c r="T23" s="33">
        <v>0</v>
      </c>
      <c r="U23" s="33">
        <v>0</v>
      </c>
      <c r="V23" s="43">
        <v>0.046798</v>
      </c>
      <c r="W23" s="43">
        <v>0.006568</v>
      </c>
      <c r="X23" s="43">
        <v>0.265189</v>
      </c>
      <c r="Y23" s="43" t="s"/>
      <c r="Z23" s="43">
        <v>0.30624</v>
      </c>
      <c r="AA23" s="43">
        <v>0.223317</v>
      </c>
      <c r="AB23" s="43">
        <v>0.004105</v>
      </c>
      <c r="AC23" s="43">
        <v>0</v>
      </c>
      <c r="AD23" s="43">
        <v>0</v>
      </c>
      <c r="AE23" s="43">
        <v>0.091954</v>
      </c>
      <c r="AF23" s="43">
        <v>0.042693</v>
      </c>
      <c r="AG23" s="43">
        <v>0.013136</v>
      </c>
    </row>
    <row r="24" spans="1:33" hidden="true">
      <c r="A24" t="s">
        <v>86</v>
      </c>
      <c r="B24" s="31" t="s">
        <v>84</v>
      </c>
      <c r="C24" s="31" t="s">
        <v>49</v>
      </c>
      <c r="D24" s="43">
        <v>0.205842</v>
      </c>
      <c r="E24" s="43">
        <v>0</v>
      </c>
      <c r="F24" s="43">
        <v>0</v>
      </c>
      <c r="G24" s="43">
        <v>0.961904</v>
      </c>
      <c r="H24" s="43">
        <v>0</v>
      </c>
      <c r="I24" s="43">
        <v>0.148214</v>
      </c>
      <c r="J24" s="43">
        <v>0.244047</v>
      </c>
      <c r="K24" s="43">
        <v>0.240625</v>
      </c>
      <c r="L24" s="43">
        <v>0.238281</v>
      </c>
      <c r="M24" s="43">
        <v>0</v>
      </c>
      <c r="N24" s="33">
        <v>0</v>
      </c>
      <c r="O24" s="33">
        <v>0</v>
      </c>
      <c r="P24" s="33">
        <v>0.023077</v>
      </c>
      <c r="Q24" s="33">
        <v>0.010204</v>
      </c>
      <c r="R24" s="33">
        <v>0.01341</v>
      </c>
      <c r="S24" s="33">
        <v>0</v>
      </c>
      <c r="T24" s="33">
        <v>0</v>
      </c>
      <c r="U24" s="33">
        <v>0</v>
      </c>
      <c r="V24" s="43">
        <v>0.651839</v>
      </c>
      <c r="W24" s="43">
        <v>0</v>
      </c>
      <c r="X24" s="43">
        <v>0</v>
      </c>
      <c r="Y24" s="43" t="s"/>
      <c r="Z24" s="43">
        <v>0.348161</v>
      </c>
      <c r="AA24" s="43">
        <v>0</v>
      </c>
      <c r="AB24" s="43">
        <v>0</v>
      </c>
      <c r="AC24" s="43">
        <v>0</v>
      </c>
      <c r="AD24" s="43">
        <v>0</v>
      </c>
      <c r="AE24" s="43">
        <v>0</v>
      </c>
      <c r="AF24" s="43">
        <v>0</v>
      </c>
      <c r="AG24" s="43">
        <v>0</v>
      </c>
    </row>
    <row r="25" spans="1:33" hidden="true">
      <c r="A25" t="s">
        <v>87</v>
      </c>
      <c r="B25" s="31" t="s">
        <v>84</v>
      </c>
      <c r="C25" s="31" t="s">
        <v>49</v>
      </c>
      <c r="D25" s="43">
        <v>0.209239</v>
      </c>
      <c r="E25" s="43">
        <v>0</v>
      </c>
      <c r="F25" s="43">
        <v>0</v>
      </c>
      <c r="G25" s="43">
        <v>0.974603</v>
      </c>
      <c r="H25" s="43">
        <v>0.002538</v>
      </c>
      <c r="I25" s="43">
        <v>0.148214</v>
      </c>
      <c r="J25" s="43">
        <v>0.247023</v>
      </c>
      <c r="K25" s="43">
        <v>0.246875</v>
      </c>
      <c r="L25" s="43">
        <v>0.246093</v>
      </c>
      <c r="M25" s="43">
        <v>0</v>
      </c>
      <c r="N25" s="33">
        <v>0</v>
      </c>
      <c r="O25" s="33">
        <v>0</v>
      </c>
      <c r="P25" s="33">
        <v>0.023077</v>
      </c>
      <c r="Q25" s="33">
        <v>0.007653</v>
      </c>
      <c r="R25" s="33">
        <v>0.011494</v>
      </c>
      <c r="S25" s="33">
        <v>0</v>
      </c>
      <c r="T25" s="33">
        <v>0</v>
      </c>
      <c r="U25" s="33">
        <v>0</v>
      </c>
      <c r="V25" s="43">
        <v>0.656357</v>
      </c>
      <c r="W25" s="43">
        <v>0</v>
      </c>
      <c r="X25" s="43">
        <v>0</v>
      </c>
      <c r="Y25" s="43" t="s"/>
      <c r="Z25" s="43">
        <v>0.343643</v>
      </c>
      <c r="AA25" s="43">
        <v>0</v>
      </c>
      <c r="AB25" s="43">
        <v>0</v>
      </c>
      <c r="AC25" s="43">
        <v>0</v>
      </c>
      <c r="AD25" s="43">
        <v>0</v>
      </c>
      <c r="AE25" s="43">
        <v>0</v>
      </c>
      <c r="AF25" s="43">
        <v>0</v>
      </c>
      <c r="AG25" s="43">
        <v>0</v>
      </c>
    </row>
    <row r="26" spans="1:33" hidden="true">
      <c r="A26" t="s">
        <v>88</v>
      </c>
      <c r="B26" s="31" t="s">
        <v>84</v>
      </c>
      <c r="C26" s="31" t="s">
        <v>49</v>
      </c>
      <c r="D26" s="43">
        <v>0.178668</v>
      </c>
      <c r="E26" s="43">
        <v>0</v>
      </c>
      <c r="F26" s="43">
        <v>0</v>
      </c>
      <c r="G26" s="43">
        <v>0.831746</v>
      </c>
      <c r="H26" s="43">
        <v>0.002538</v>
      </c>
      <c r="I26" s="43">
        <v>0.107142</v>
      </c>
      <c r="J26" s="43">
        <v>0.196428</v>
      </c>
      <c r="K26" s="43">
        <v>0.234375</v>
      </c>
      <c r="L26" s="43">
        <v>0.242187</v>
      </c>
      <c r="M26" s="43">
        <v>0</v>
      </c>
      <c r="N26" s="33">
        <v>0</v>
      </c>
      <c r="O26" s="33">
        <v>0</v>
      </c>
      <c r="P26" s="33">
        <v>0.015385</v>
      </c>
      <c r="Q26" s="33">
        <v>0.012755</v>
      </c>
      <c r="R26" s="33">
        <v>0.01341</v>
      </c>
      <c r="S26" s="33">
        <v>0</v>
      </c>
      <c r="T26" s="33">
        <v>0</v>
      </c>
      <c r="U26" s="33">
        <v>0</v>
      </c>
      <c r="V26" s="43">
        <v>0.742763</v>
      </c>
      <c r="W26" s="43">
        <v>0.002481</v>
      </c>
      <c r="X26" s="43">
        <v>0.003309</v>
      </c>
      <c r="Y26" s="43" t="s"/>
      <c r="Z26" s="43">
        <v>0.249793</v>
      </c>
      <c r="AA26" s="43">
        <v>0</v>
      </c>
      <c r="AB26" s="43">
        <v>0</v>
      </c>
      <c r="AC26" s="43">
        <v>0.000827</v>
      </c>
      <c r="AD26" s="43">
        <v>0</v>
      </c>
      <c r="AE26" s="43">
        <v>0</v>
      </c>
      <c r="AF26" s="43">
        <v>0.000827</v>
      </c>
      <c r="AG26" s="43">
        <v>0</v>
      </c>
    </row>
    <row r="27" spans="1:33" hidden="true">
      <c r="A27" t="s">
        <v>89</v>
      </c>
      <c r="B27" s="31" t="s">
        <v>84</v>
      </c>
      <c r="C27" s="31" t="s">
        <v>49</v>
      </c>
      <c r="D27" s="43">
        <v>0.597146</v>
      </c>
      <c r="E27" s="43">
        <v>0.641025</v>
      </c>
      <c r="F27" s="43">
        <v>0.434466</v>
      </c>
      <c r="G27" s="43">
        <v>0.888888</v>
      </c>
      <c r="H27" s="43">
        <v>0.494923</v>
      </c>
      <c r="I27" s="43">
        <v>0.641071</v>
      </c>
      <c r="J27" s="43">
        <v>0.553571</v>
      </c>
      <c r="K27" s="43">
        <v>0.609375</v>
      </c>
      <c r="L27" s="43">
        <v>0.542968</v>
      </c>
      <c r="M27" s="33">
        <v>0.531987</v>
      </c>
      <c r="N27" s="33">
        <v>0.195122</v>
      </c>
      <c r="O27" s="33">
        <v>0.175676</v>
      </c>
      <c r="P27" s="33">
        <v>0.330769</v>
      </c>
      <c r="Q27" s="33">
        <v>0.288265</v>
      </c>
      <c r="R27" s="33">
        <v>0.298851</v>
      </c>
      <c r="S27" s="33">
        <v>0.974683</v>
      </c>
      <c r="T27" s="33">
        <v>0.923076</v>
      </c>
      <c r="U27" s="33">
        <v>0.97076</v>
      </c>
      <c r="V27" s="43">
        <v>0.131535</v>
      </c>
      <c r="W27" s="43">
        <v>0.003373</v>
      </c>
      <c r="X27" s="43">
        <v>0.283305</v>
      </c>
      <c r="Y27" s="43" t="s"/>
      <c r="Z27" s="43">
        <v>0.155143</v>
      </c>
      <c r="AA27" s="43">
        <v>0.148398</v>
      </c>
      <c r="AB27" s="43">
        <v>0.057336</v>
      </c>
      <c r="AC27" s="43">
        <v>0</v>
      </c>
      <c r="AD27" s="43">
        <v>0.005059</v>
      </c>
      <c r="AE27" s="43">
        <v>0.008432</v>
      </c>
      <c r="AF27" s="43">
        <v>0.131535</v>
      </c>
      <c r="AG27" s="43">
        <v>0.075885</v>
      </c>
    </row>
    <row r="28" spans="1:33" hidden="true">
      <c r="A28" t="s">
        <v>90</v>
      </c>
      <c r="B28" s="31" t="s">
        <v>84</v>
      </c>
      <c r="C28" s="31" t="s">
        <v>49</v>
      </c>
      <c r="D28" s="43">
        <v>0.61413</v>
      </c>
      <c r="E28" s="43">
        <v>0.709401</v>
      </c>
      <c r="F28" s="43">
        <v>0.427184</v>
      </c>
      <c r="G28" s="43">
        <v>0.83492</v>
      </c>
      <c r="H28" s="43">
        <v>0.548223</v>
      </c>
      <c r="I28" s="43">
        <v>0.644642</v>
      </c>
      <c r="J28" s="43">
        <v>0.595238</v>
      </c>
      <c r="K28" s="43">
        <v>0.628125</v>
      </c>
      <c r="L28" s="43">
        <v>0.554687</v>
      </c>
      <c r="M28" s="43">
        <v>0.56229</v>
      </c>
      <c r="N28" s="33">
        <v>0.097561</v>
      </c>
      <c r="O28" s="33">
        <v>0.067568</v>
      </c>
      <c r="P28" s="33">
        <v>0.246154</v>
      </c>
      <c r="Q28" s="33">
        <v>0.15051</v>
      </c>
      <c r="R28" s="33">
        <v>0.174329</v>
      </c>
      <c r="S28" s="33">
        <v>1</v>
      </c>
      <c r="T28" s="33">
        <v>0.399999</v>
      </c>
      <c r="U28" s="33">
        <v>0.982558</v>
      </c>
      <c r="V28" s="43">
        <v>0.042254</v>
      </c>
      <c r="W28" s="43">
        <v>0.003521</v>
      </c>
      <c r="X28" s="43">
        <v>0.297535</v>
      </c>
      <c r="Y28" s="43" t="s"/>
      <c r="Z28" s="43">
        <v>0.167254</v>
      </c>
      <c r="AA28" s="43">
        <v>0.183099</v>
      </c>
      <c r="AB28" s="43">
        <v>0.072183</v>
      </c>
      <c r="AC28" s="43">
        <v>0</v>
      </c>
      <c r="AD28" s="43">
        <v>0.008803</v>
      </c>
      <c r="AE28" s="43">
        <v>0.008803</v>
      </c>
      <c r="AF28" s="43">
        <v>0.121479</v>
      </c>
      <c r="AG28" s="43">
        <v>0.09507</v>
      </c>
    </row>
    <row r="29" spans="1:33" hidden="true">
      <c r="A29" t="s">
        <v>91</v>
      </c>
      <c r="B29" s="31" t="s">
        <v>84</v>
      </c>
      <c r="C29" s="31" t="s">
        <v>49</v>
      </c>
      <c r="D29" s="43">
        <v>0.571331</v>
      </c>
      <c r="E29" s="43">
        <v>0.592592</v>
      </c>
      <c r="F29" s="43">
        <v>0.368932</v>
      </c>
      <c r="G29" s="43">
        <v>0.907936</v>
      </c>
      <c r="H29" s="43">
        <v>0.494923</v>
      </c>
      <c r="I29" s="43">
        <v>0.6</v>
      </c>
      <c r="J29" s="43">
        <v>0.553571</v>
      </c>
      <c r="K29" s="43">
        <v>0.584375</v>
      </c>
      <c r="L29" s="43">
        <v>0.515625</v>
      </c>
      <c r="M29" s="43">
        <v>0.461279</v>
      </c>
      <c r="N29" s="33">
        <v>0.195122</v>
      </c>
      <c r="O29" s="33">
        <v>0.094595</v>
      </c>
      <c r="P29" s="33">
        <v>0.284615</v>
      </c>
      <c r="Q29" s="33">
        <v>0.155612</v>
      </c>
      <c r="R29" s="33">
        <v>0.187739</v>
      </c>
      <c r="S29" s="33">
        <v>0.934307</v>
      </c>
      <c r="T29" s="33">
        <v>0.999999</v>
      </c>
      <c r="U29" s="33">
        <v>0.9375</v>
      </c>
      <c r="V29" s="43">
        <v>0.164818</v>
      </c>
      <c r="W29" s="43">
        <v>0</v>
      </c>
      <c r="X29" s="43">
        <v>0.248811</v>
      </c>
      <c r="Y29" s="43" t="s"/>
      <c r="Z29" s="43">
        <v>0.194929</v>
      </c>
      <c r="AA29" s="43">
        <v>0.160063</v>
      </c>
      <c r="AB29" s="43">
        <v>0.053883</v>
      </c>
      <c r="AC29" s="43">
        <v>0</v>
      </c>
      <c r="AD29" s="43">
        <v>0.00317</v>
      </c>
      <c r="AE29" s="43">
        <v>0.004754</v>
      </c>
      <c r="AF29" s="43">
        <v>0.083994</v>
      </c>
      <c r="AG29" s="43">
        <v>0.085578</v>
      </c>
    </row>
    <row r="30" spans="1:33" hidden="true">
      <c r="A30" t="s">
        <v>92</v>
      </c>
      <c r="B30" s="31" t="s">
        <v>84</v>
      </c>
      <c r="C30" s="31" t="s">
        <v>49</v>
      </c>
      <c r="D30" s="43">
        <v>0.547554</v>
      </c>
      <c r="E30" s="43">
        <v>0.527065</v>
      </c>
      <c r="F30" s="43">
        <v>0.349514</v>
      </c>
      <c r="G30" s="43">
        <v>0.898412</v>
      </c>
      <c r="H30" s="43">
        <v>0.492385</v>
      </c>
      <c r="I30" s="43">
        <v>0.571428</v>
      </c>
      <c r="J30" s="43">
        <v>0.5625</v>
      </c>
      <c r="K30" s="43">
        <v>0.5375</v>
      </c>
      <c r="L30" s="43">
        <v>0.488281</v>
      </c>
      <c r="M30" s="43">
        <v>0.451178</v>
      </c>
      <c r="N30" s="33">
        <v>0.121951</v>
      </c>
      <c r="O30" s="33">
        <v>0.067568</v>
      </c>
      <c r="P30" s="33">
        <v>0.3</v>
      </c>
      <c r="Q30" s="33">
        <v>0.163265</v>
      </c>
      <c r="R30" s="33">
        <v>0.197318</v>
      </c>
      <c r="S30" s="33">
        <v>0.925373</v>
      </c>
      <c r="T30" s="33">
        <v>0.799998</v>
      </c>
      <c r="U30" s="33">
        <v>0.920863</v>
      </c>
      <c r="V30" s="43">
        <v>0.22973</v>
      </c>
      <c r="W30" s="43">
        <v>0.004505</v>
      </c>
      <c r="X30" s="43">
        <v>0.235736</v>
      </c>
      <c r="Y30" s="43" t="s"/>
      <c r="Z30" s="43">
        <v>0.147147</v>
      </c>
      <c r="AA30" s="43">
        <v>0.184685</v>
      </c>
      <c r="AB30" s="43">
        <v>0.040541</v>
      </c>
      <c r="AC30" s="43">
        <v>0.001502</v>
      </c>
      <c r="AD30" s="43">
        <v>0.010511</v>
      </c>
      <c r="AE30" s="43">
        <v>0.003003</v>
      </c>
      <c r="AF30" s="43">
        <v>0.085586</v>
      </c>
      <c r="AG30" s="43">
        <v>0.057057</v>
      </c>
    </row>
    <row r="31" spans="1:33" hidden="true">
      <c r="A31" t="s">
        <v>93</v>
      </c>
      <c r="B31" s="31" t="s">
        <v>84</v>
      </c>
      <c r="C31" s="31" t="s">
        <v>49</v>
      </c>
      <c r="D31" s="43">
        <v>0.46807</v>
      </c>
      <c r="E31" s="43">
        <v>0.472934</v>
      </c>
      <c r="F31" s="43">
        <v>0.235436</v>
      </c>
      <c r="G31" s="43">
        <v>0.857142</v>
      </c>
      <c r="H31" s="43">
        <v>0.395939</v>
      </c>
      <c r="I31" s="43">
        <v>0.473214</v>
      </c>
      <c r="J31" s="43">
        <v>0.4375</v>
      </c>
      <c r="K31" s="43">
        <v>0.484375</v>
      </c>
      <c r="L31" s="43">
        <v>0.476562</v>
      </c>
      <c r="M31" s="33">
        <v>0.323232</v>
      </c>
      <c r="N31" s="33">
        <v>0</v>
      </c>
      <c r="O31" s="33">
        <v>0.013514</v>
      </c>
      <c r="P31" s="33">
        <v>0.069231</v>
      </c>
      <c r="Q31" s="33">
        <v>0.071429</v>
      </c>
      <c r="R31" s="33">
        <v>0.070881</v>
      </c>
      <c r="S31" s="33">
        <v>0.989583</v>
      </c>
      <c r="T31" s="33">
        <v>0</v>
      </c>
      <c r="U31" s="33">
        <v>0.979381</v>
      </c>
      <c r="V31" s="43">
        <v>0.196679</v>
      </c>
      <c r="W31" s="43">
        <v>0.010217</v>
      </c>
      <c r="X31" s="43">
        <v>0.243934</v>
      </c>
      <c r="Y31" s="43" t="s"/>
      <c r="Z31" s="43">
        <v>0.194125</v>
      </c>
      <c r="AA31" s="43">
        <v>0.153257</v>
      </c>
      <c r="AB31" s="43">
        <v>0.052363</v>
      </c>
      <c r="AC31" s="43">
        <v>0.002554</v>
      </c>
      <c r="AD31" s="43">
        <v>0.007663</v>
      </c>
      <c r="AE31" s="33">
        <v>0.001277</v>
      </c>
      <c r="AF31" s="43">
        <v>0.070243</v>
      </c>
      <c r="AG31" s="43">
        <v>0.067688</v>
      </c>
    </row>
    <row r="32" spans="1:33" hidden="true">
      <c r="A32" t="s">
        <v>94</v>
      </c>
      <c r="B32" s="31" t="s">
        <v>84</v>
      </c>
      <c r="C32" s="31" t="s">
        <v>49</v>
      </c>
      <c r="D32" s="43">
        <v>0.389266</v>
      </c>
      <c r="E32" s="43">
        <v>0.216524</v>
      </c>
      <c r="F32" s="43">
        <v>0.148058</v>
      </c>
      <c r="G32" s="43">
        <v>0.971428</v>
      </c>
      <c r="H32" s="43">
        <v>0.329949</v>
      </c>
      <c r="I32" s="43">
        <v>0.433928</v>
      </c>
      <c r="J32" s="43">
        <v>0.392857</v>
      </c>
      <c r="K32" s="43">
        <v>0.359375</v>
      </c>
      <c r="L32" s="43">
        <v>0.324218</v>
      </c>
      <c r="M32" s="43">
        <v>0.205387</v>
      </c>
      <c r="N32" s="33">
        <v>0</v>
      </c>
      <c r="O32" s="33">
        <v>0</v>
      </c>
      <c r="P32" s="33">
        <v>0.107692</v>
      </c>
      <c r="Q32" s="33">
        <v>0.058673</v>
      </c>
      <c r="R32" s="33">
        <v>0.070881</v>
      </c>
      <c r="S32" s="33">
        <v>1</v>
      </c>
      <c r="T32" s="33">
        <v>0</v>
      </c>
      <c r="U32" s="33">
        <v>1</v>
      </c>
      <c r="V32" s="43">
        <v>0.441602</v>
      </c>
      <c r="W32" s="43">
        <v>0.012236</v>
      </c>
      <c r="X32" s="43">
        <v>0.104561</v>
      </c>
      <c r="Y32" s="43" t="s"/>
      <c r="Z32" s="43">
        <v>0.205784</v>
      </c>
      <c r="AA32" s="43">
        <v>0.125695</v>
      </c>
      <c r="AB32" s="43">
        <v>0.01891</v>
      </c>
      <c r="AC32" s="43">
        <v>0.006674</v>
      </c>
      <c r="AD32" s="43">
        <v>0.003337</v>
      </c>
      <c r="AE32" s="43">
        <v>0.003337</v>
      </c>
      <c r="AF32" s="43">
        <v>0.036708</v>
      </c>
      <c r="AG32" s="43">
        <v>0.041157</v>
      </c>
    </row>
    <row r="33" spans="1:33" hidden="true">
      <c r="A33" t="s">
        <v>95</v>
      </c>
      <c r="B33" s="31" t="s">
        <v>84</v>
      </c>
      <c r="C33" s="31" t="s">
        <v>49</v>
      </c>
      <c r="D33" s="43">
        <v>0.283288</v>
      </c>
      <c r="E33" s="43">
        <v>0.062678</v>
      </c>
      <c r="F33" s="43">
        <v>0.038834</v>
      </c>
      <c r="G33" s="43">
        <v>0.949206</v>
      </c>
      <c r="H33" s="43">
        <v>0.203045</v>
      </c>
      <c r="I33" s="43">
        <v>0.307142</v>
      </c>
      <c r="J33" s="43">
        <v>0.291666</v>
      </c>
      <c r="K33" s="43">
        <v>0.259375</v>
      </c>
      <c r="L33" s="43">
        <v>0.25</v>
      </c>
      <c r="M33" s="33">
        <v>0.053872</v>
      </c>
      <c r="N33" s="33">
        <v>0</v>
      </c>
      <c r="O33" s="33">
        <v>0</v>
      </c>
      <c r="P33" s="33">
        <v>0.1</v>
      </c>
      <c r="Q33" s="33">
        <v>0.038265</v>
      </c>
      <c r="R33" s="33">
        <v>0.05364</v>
      </c>
      <c r="S33" s="33">
        <v>0.999999</v>
      </c>
      <c r="T33" s="33">
        <v>0</v>
      </c>
      <c r="U33" s="33">
        <v>0.999999</v>
      </c>
      <c r="V33" s="43">
        <v>0.51564</v>
      </c>
      <c r="W33" s="43">
        <v>0.008531</v>
      </c>
      <c r="X33" s="43">
        <v>0.054028</v>
      </c>
      <c r="Y33" s="43" t="s"/>
      <c r="Z33" s="43">
        <v>0.272038</v>
      </c>
      <c r="AA33" s="43">
        <v>0.082465</v>
      </c>
      <c r="AB33" s="43">
        <v>0.011374</v>
      </c>
      <c r="AC33" s="43">
        <v>0.007583</v>
      </c>
      <c r="AD33" s="43">
        <v>0.002844</v>
      </c>
      <c r="AE33" s="43">
        <v>0.006635</v>
      </c>
      <c r="AF33" s="43">
        <v>0.014218</v>
      </c>
      <c r="AG33" s="43">
        <v>0.024645</v>
      </c>
    </row>
    <row r="34" spans="1:33" hidden="true">
      <c r="A34" t="s">
        <v>96</v>
      </c>
      <c r="B34" s="31" t="s">
        <v>84</v>
      </c>
      <c r="C34" s="31" t="s">
        <v>49</v>
      </c>
      <c r="D34" s="43">
        <v>0.334239</v>
      </c>
      <c r="E34" s="43">
        <v>0.287749</v>
      </c>
      <c r="F34" s="43">
        <v>0.152912</v>
      </c>
      <c r="G34" s="43">
        <v>0.723809</v>
      </c>
      <c r="H34" s="43">
        <v>0.253807</v>
      </c>
      <c r="I34" s="43">
        <v>0.396428</v>
      </c>
      <c r="J34" s="43">
        <v>0.386904</v>
      </c>
      <c r="K34" s="43">
        <v>0.265625</v>
      </c>
      <c r="L34" s="33">
        <v>0.214843</v>
      </c>
      <c r="M34" s="33">
        <v>0.175084</v>
      </c>
      <c r="N34" s="33">
        <v>0.195122</v>
      </c>
      <c r="O34" s="33">
        <v>0.040541</v>
      </c>
      <c r="P34" s="33">
        <v>0.392308</v>
      </c>
      <c r="Q34" s="33">
        <v>0.181122</v>
      </c>
      <c r="R34" s="33">
        <v>0.233716</v>
      </c>
      <c r="S34" s="33">
        <v>0.057692</v>
      </c>
      <c r="T34" s="33">
        <v>0</v>
      </c>
      <c r="U34" s="33">
        <v>0.054545</v>
      </c>
      <c r="V34" s="43">
        <v>0.520408</v>
      </c>
      <c r="W34" s="43">
        <v>0</v>
      </c>
      <c r="X34" s="43">
        <v>0.130612</v>
      </c>
      <c r="Y34" s="43" t="s"/>
      <c r="Z34" s="43">
        <v>0.143878</v>
      </c>
      <c r="AA34" s="43">
        <v>0.152041</v>
      </c>
      <c r="AB34" s="43">
        <v>0.002041</v>
      </c>
      <c r="AC34" s="43">
        <v>0</v>
      </c>
      <c r="AD34" s="43">
        <v>0.003061</v>
      </c>
      <c r="AE34" s="43">
        <v>0</v>
      </c>
      <c r="AF34" s="43">
        <v>0.032653</v>
      </c>
      <c r="AG34" s="43">
        <v>0.015306</v>
      </c>
    </row>
    <row r="35" spans="1:48" s="159">
      <c r="A35" s="42" t="s">
        <v>355</v>
      </c>
      <c r="B35" s="141" t="s"/>
      <c r="C35" s="141" t="s"/>
      <c r="D35" s="42" t="s"/>
      <c r="E35" s="42" t="s"/>
      <c r="F35" s="42" t="s"/>
      <c r="G35" s="42" t="s"/>
      <c r="H35" s="42" t="s"/>
      <c r="I35" s="42" t="s"/>
      <c r="J35" s="42" t="s"/>
      <c r="K35" s="42" t="s"/>
      <c r="L35" s="42" t="s"/>
      <c r="M35" s="42" t="s"/>
      <c r="N35" s="42" t="s"/>
      <c r="O35" s="42" t="s"/>
      <c r="P35" s="42" t="s"/>
      <c r="Q35" s="42" t="s"/>
      <c r="R35" s="42" t="s"/>
      <c r="S35" s="42" t="s"/>
      <c r="T35" s="42" t="s"/>
      <c r="U35" s="42" t="s"/>
      <c r="V35" s="42" t="s"/>
      <c r="W35" s="42" t="s"/>
      <c r="X35" s="42" t="s"/>
      <c r="Y35" s="42" t="s"/>
      <c r="Z35" s="42" t="s"/>
      <c r="AA35" s="42" t="s"/>
      <c r="AB35" s="42" t="s"/>
      <c r="AC35" s="42" t="s"/>
      <c r="AD35" s="42" t="s"/>
      <c r="AE35" s="42" t="s"/>
      <c r="AF35" s="42" t="s"/>
      <c r="AG35" s="42" t="s"/>
      <c r="AH35" s="146" t="s"/>
      <c r="AI35" s="146" t="s"/>
      <c r="AJ35" s="146" t="s"/>
      <c r="AK35" s="146" t="s"/>
      <c r="AL35" s="146" t="s"/>
      <c r="AM35" s="147" t="s"/>
      <c r="AN35" s="147" t="s"/>
      <c r="AO35" s="147" t="s"/>
      <c r="AP35" s="147" t="s"/>
      <c r="AQ35" s="147" t="s"/>
      <c r="AR35" s="147" t="s"/>
      <c r="AS35" s="147" t="s"/>
      <c r="AT35" s="147" t="s"/>
      <c r="AU35" s="147" t="s"/>
      <c r="AV35" s="147" t="s"/>
    </row>
    <row r="36" spans="1:48" s="50">
      <c r="A36" s="50" t="s">
        <v>67</v>
      </c>
      <c r="B36" s="148" t="s"/>
      <c r="C36" s="148" t="s"/>
      <c r="Y36" s="50" t="s"/>
      <c r="AH36" s="50" t="s"/>
      <c r="AM36" s="147" t="s"/>
      <c r="AN36" s="147" t="s"/>
      <c r="AO36" s="147" t="s"/>
      <c r="AP36" s="147" t="s"/>
      <c r="AQ36" s="147" t="s"/>
      <c r="AR36" s="147" t="s"/>
      <c r="AS36" s="147" t="s"/>
      <c r="AT36" s="147" t="s"/>
      <c r="AU36" s="147" t="s"/>
      <c r="AV36" s="147" t="s"/>
    </row>
    <row r="37" spans="1:38">
      <c r="A37" t="s">
        <v>356</v>
      </c>
      <c r="B37" s="31" t="s">
        <v>67</v>
      </c>
      <c r="C37" s="31" t="s">
        <v>49</v>
      </c>
      <c r="D37" s="43">
        <v>0.505859</v>
      </c>
      <c r="E37" s="43">
        <v>0.539062</v>
      </c>
      <c r="F37" s="43">
        <v>0.433593</v>
      </c>
      <c r="G37" s="43">
        <v>0.703125</v>
      </c>
      <c r="H37" s="43">
        <v>0.347656</v>
      </c>
      <c r="I37" s="43">
        <v>0.710937</v>
      </c>
      <c r="J37" s="43">
        <v>0.507812</v>
      </c>
      <c r="K37" s="43">
        <v>0.414062</v>
      </c>
      <c r="L37" s="43">
        <v>0.390625</v>
      </c>
      <c r="M37" s="43">
        <v>0.522293</v>
      </c>
      <c r="N37" s="33">
        <v>0.3125</v>
      </c>
      <c r="O37" s="33">
        <v>0.285714</v>
      </c>
      <c r="P37" s="33">
        <v>0.490566</v>
      </c>
      <c r="Q37" s="33">
        <v>0.476103</v>
      </c>
      <c r="R37" s="33">
        <v>0.477387</v>
      </c>
      <c r="S37" s="33">
        <v>0.509554</v>
      </c>
      <c r="T37" s="33">
        <v>0.261905</v>
      </c>
      <c r="U37" s="33">
        <v>0.423236</v>
      </c>
      <c r="V37" s="43">
        <v>0.037549</v>
      </c>
      <c r="W37" s="43">
        <v>0</v>
      </c>
      <c r="X37" s="43">
        <v>0.252964</v>
      </c>
      <c r="Y37" s="43">
        <v>0.150198</v>
      </c>
      <c r="Z37" s="43">
        <v>0.164032</v>
      </c>
      <c r="AA37" s="43">
        <v>0.102767</v>
      </c>
      <c r="AB37" s="43">
        <v>0.067194</v>
      </c>
      <c r="AC37" s="43">
        <v>0.003953</v>
      </c>
      <c r="AD37" s="43">
        <v>0.003953</v>
      </c>
      <c r="AE37" s="43">
        <v>0.023715</v>
      </c>
      <c r="AF37" s="43">
        <v>0.079051</v>
      </c>
      <c r="AG37" s="43">
        <v>0.114625</v>
      </c>
      <c r="AH37" s="33">
        <v>0.710937</v>
      </c>
      <c r="AI37" s="33">
        <v>0.4375</v>
      </c>
      <c r="AJ37" s="33">
        <v>0.432665</v>
      </c>
      <c r="AK37" s="33">
        <v>0.5125</v>
      </c>
      <c r="AL37" s="33">
        <v>0.346369</v>
      </c>
    </row>
    <row r="38" spans="1:38">
      <c r="A38" t="s">
        <v>357</v>
      </c>
      <c r="B38" s="31" t="s">
        <v>67</v>
      </c>
      <c r="C38" s="31" t="s">
        <v>49</v>
      </c>
      <c r="D38" s="43">
        <v>0.514648</v>
      </c>
      <c r="E38" s="43">
        <v>0.546875</v>
      </c>
      <c r="F38" s="43">
        <v>0.40625</v>
      </c>
      <c r="G38" s="43">
        <v>0.746093</v>
      </c>
      <c r="H38" s="43">
        <v>0.359375</v>
      </c>
      <c r="I38" s="43">
        <v>0.738281</v>
      </c>
      <c r="J38" s="43">
        <v>0.523437</v>
      </c>
      <c r="K38" s="43">
        <v>0.421875</v>
      </c>
      <c r="L38" s="43">
        <v>0.375</v>
      </c>
      <c r="M38" s="43">
        <v>0.515924</v>
      </c>
      <c r="N38" s="33">
        <v>0.1875</v>
      </c>
      <c r="O38" s="33">
        <v>0.238095</v>
      </c>
      <c r="P38" s="33">
        <v>0.433962</v>
      </c>
      <c r="Q38" s="33">
        <v>0.457721</v>
      </c>
      <c r="R38" s="33">
        <v>0.455611</v>
      </c>
      <c r="S38" s="33">
        <v>0.503185</v>
      </c>
      <c r="T38" s="33">
        <v>0.238095</v>
      </c>
      <c r="U38" s="33">
        <v>0.410788</v>
      </c>
      <c r="V38" s="43">
        <v>0.042254</v>
      </c>
      <c r="W38" s="43">
        <v>0</v>
      </c>
      <c r="X38" s="43">
        <v>0.249497</v>
      </c>
      <c r="Y38" s="43">
        <v>0.130785</v>
      </c>
      <c r="Z38" s="43">
        <v>0.16499</v>
      </c>
      <c r="AA38" s="43">
        <v>0.110664</v>
      </c>
      <c r="AB38" s="43">
        <v>0.060362</v>
      </c>
      <c r="AC38" s="43">
        <v>0.004024</v>
      </c>
      <c r="AD38" s="43">
        <v>0.002012</v>
      </c>
      <c r="AE38" s="43">
        <v>0.024145</v>
      </c>
      <c r="AF38" s="43">
        <v>0.080483</v>
      </c>
      <c r="AG38" s="43">
        <v>0.130785</v>
      </c>
      <c r="AH38" s="33">
        <v>0.738281</v>
      </c>
      <c r="AI38" s="33">
        <v>0.440104</v>
      </c>
      <c r="AJ38" s="33">
        <v>0.426934</v>
      </c>
      <c r="AK38" s="33">
        <v>0.529167</v>
      </c>
      <c r="AL38" s="33">
        <v>0.346369</v>
      </c>
    </row>
    <row r="39" spans="1:38">
      <c r="A39" s="149" t="s">
        <v>358</v>
      </c>
      <c r="B39" s="31" t="s">
        <v>67</v>
      </c>
      <c r="C39" s="31" t="s">
        <v>49</v>
      </c>
      <c r="D39" s="43">
        <v>0.473632</v>
      </c>
      <c r="E39" s="43">
        <v>0.496093</v>
      </c>
      <c r="F39" s="43">
        <v>0.261718</v>
      </c>
      <c r="G39" s="43">
        <v>0.777343</v>
      </c>
      <c r="H39" s="43">
        <v>0.359375</v>
      </c>
      <c r="I39" s="43">
        <v>0.636718</v>
      </c>
      <c r="J39" s="43">
        <v>0.492187</v>
      </c>
      <c r="K39" s="43">
        <v>0.40625</v>
      </c>
      <c r="L39" s="43">
        <v>0.359375</v>
      </c>
      <c r="M39" s="33">
        <v>0.375796</v>
      </c>
      <c r="N39" s="33">
        <v>0.0625</v>
      </c>
      <c r="O39" s="33">
        <v>0.083333</v>
      </c>
      <c r="P39" s="33">
        <v>0.283019</v>
      </c>
      <c r="Q39" s="33">
        <v>0.154412</v>
      </c>
      <c r="R39" s="33">
        <v>0.165829</v>
      </c>
      <c r="S39" s="33">
        <v>0.375796</v>
      </c>
      <c r="T39" s="33">
        <v>0.047619</v>
      </c>
      <c r="U39" s="33">
        <v>0.261411</v>
      </c>
      <c r="V39" s="43">
        <v>0.320965</v>
      </c>
      <c r="W39" s="43">
        <v>0</v>
      </c>
      <c r="X39" s="43">
        <v>0.102041</v>
      </c>
      <c r="Y39" s="43">
        <v>0.074212</v>
      </c>
      <c r="Z39" s="43">
        <v>0.189239</v>
      </c>
      <c r="AA39" s="43">
        <v>0.113173</v>
      </c>
      <c r="AB39" s="43">
        <v>0.051948</v>
      </c>
      <c r="AC39" s="43">
        <v>0</v>
      </c>
      <c r="AD39" s="43">
        <v>0.001855</v>
      </c>
      <c r="AE39" s="43">
        <v>0.035251</v>
      </c>
      <c r="AF39" s="43">
        <v>0.033395</v>
      </c>
      <c r="AG39" s="43">
        <v>0.077922</v>
      </c>
      <c r="AH39" s="33">
        <v>0.636719</v>
      </c>
      <c r="AI39" s="33">
        <v>0.419271</v>
      </c>
      <c r="AJ39" s="33">
        <v>0.469914</v>
      </c>
      <c r="AK39" s="33">
        <v>0.420833</v>
      </c>
      <c r="AL39" s="33">
        <v>0.318436</v>
      </c>
    </row>
    <row r="40" spans="1:38">
      <c r="A40" s="150" t="s">
        <v>359</v>
      </c>
      <c r="B40" s="31" t="s">
        <v>67</v>
      </c>
      <c r="C40" s="31" t="s">
        <v>49</v>
      </c>
      <c r="D40" s="151">
        <v>0.304687</v>
      </c>
      <c r="E40" s="151">
        <v>0.441406</v>
      </c>
      <c r="F40" s="43">
        <v>0.304687</v>
      </c>
      <c r="G40" s="43">
        <v>0.226562</v>
      </c>
      <c r="H40" s="43">
        <v>0.246093</v>
      </c>
      <c r="I40" s="43">
        <v>0.457031</v>
      </c>
      <c r="J40" s="43">
        <v>0.328125</v>
      </c>
      <c r="K40" s="43">
        <v>0.25</v>
      </c>
      <c r="L40" s="43">
        <v>0.183593</v>
      </c>
      <c r="M40" s="33">
        <v>0.363057</v>
      </c>
      <c r="N40" s="33">
        <v>0.25</v>
      </c>
      <c r="O40" s="33">
        <v>0.202381</v>
      </c>
      <c r="P40" s="33">
        <v>0.622641</v>
      </c>
      <c r="Q40" s="33">
        <v>0.375</v>
      </c>
      <c r="R40" s="33">
        <v>0.396985</v>
      </c>
      <c r="S40" s="33">
        <v>0.191083</v>
      </c>
      <c r="T40" s="33">
        <v>0.059524</v>
      </c>
      <c r="U40" s="33">
        <v>0.145228</v>
      </c>
      <c r="V40" s="43">
        <v>0.348315</v>
      </c>
      <c r="W40" s="43">
        <v>0</v>
      </c>
      <c r="X40" s="43">
        <v>0.141854</v>
      </c>
      <c r="Y40" s="43">
        <v>0.203652</v>
      </c>
      <c r="Z40" s="43">
        <v>0.057584</v>
      </c>
      <c r="AA40" s="43">
        <v>0.089888</v>
      </c>
      <c r="AB40" s="43">
        <v>0.022472</v>
      </c>
      <c r="AC40" s="43">
        <v>0</v>
      </c>
      <c r="AD40" s="43">
        <v>0.001404</v>
      </c>
      <c r="AE40" s="43">
        <v>0.009831</v>
      </c>
      <c r="AF40" s="43">
        <v>0.043539</v>
      </c>
      <c r="AG40" s="43">
        <v>0.081461</v>
      </c>
      <c r="AH40" s="33">
        <v>0.457031</v>
      </c>
      <c r="AI40" s="33">
        <v>0.253906</v>
      </c>
      <c r="AJ40" s="33">
        <v>0.22063</v>
      </c>
      <c r="AK40" s="33">
        <v>0.320833</v>
      </c>
      <c r="AL40" s="33">
        <v>0.22905</v>
      </c>
    </row>
    <row r="41" spans="1:38">
      <c r="A41" s="149" t="s">
        <v>360</v>
      </c>
      <c r="B41" s="31" t="s">
        <v>67</v>
      </c>
      <c r="C41" s="31" t="s">
        <v>49</v>
      </c>
      <c r="D41" s="151">
        <v>0.440429</v>
      </c>
      <c r="E41" s="151">
        <v>0.570312</v>
      </c>
      <c r="F41" s="43">
        <v>0.316406</v>
      </c>
      <c r="G41" s="43">
        <v>0.558593</v>
      </c>
      <c r="H41" s="43">
        <v>0.316406</v>
      </c>
      <c r="I41" s="43">
        <v>0.703125</v>
      </c>
      <c r="J41" s="43">
        <v>0.402343</v>
      </c>
      <c r="K41" s="43">
        <v>0.359375</v>
      </c>
      <c r="L41" s="43">
        <v>0.296875</v>
      </c>
      <c r="M41" s="33">
        <v>0.414013</v>
      </c>
      <c r="N41" s="33">
        <v>0.125</v>
      </c>
      <c r="O41" s="33">
        <v>0.166667</v>
      </c>
      <c r="P41" s="33">
        <v>0.433962</v>
      </c>
      <c r="Q41" s="33">
        <v>0.371324</v>
      </c>
      <c r="R41" s="33">
        <v>0.376884</v>
      </c>
      <c r="S41" s="33">
        <v>0.375796</v>
      </c>
      <c r="T41" s="33">
        <v>0.154762</v>
      </c>
      <c r="U41" s="33">
        <v>0.298755</v>
      </c>
      <c r="V41" s="43">
        <v>0.075044</v>
      </c>
      <c r="W41" s="43">
        <v>0.00349</v>
      </c>
      <c r="X41" s="43">
        <v>0.249564</v>
      </c>
      <c r="Y41" s="43">
        <v>0.195462</v>
      </c>
      <c r="Z41" s="43">
        <v>0.064572</v>
      </c>
      <c r="AA41" s="43">
        <v>0.132635</v>
      </c>
      <c r="AB41" s="43">
        <v>0.061082</v>
      </c>
      <c r="AC41" s="43">
        <v>0</v>
      </c>
      <c r="AD41" s="43">
        <v>0.00349</v>
      </c>
      <c r="AE41" s="43">
        <v>0.022688</v>
      </c>
      <c r="AF41" s="43">
        <v>0.064572</v>
      </c>
      <c r="AG41" s="43">
        <v>0.1274</v>
      </c>
      <c r="AH41" s="33">
        <v>0.703125</v>
      </c>
      <c r="AI41" s="33">
        <v>0.352865</v>
      </c>
      <c r="AJ41" s="33">
        <v>0.352436</v>
      </c>
      <c r="AK41" s="33">
        <v>0.391667</v>
      </c>
      <c r="AL41" s="33">
        <v>0.301676</v>
      </c>
    </row>
    <row r="42" spans="1:38">
      <c r="A42" s="149" t="s">
        <v>361</v>
      </c>
      <c r="B42" s="31" t="s">
        <v>67</v>
      </c>
      <c r="C42" s="31" t="s">
        <v>49</v>
      </c>
      <c r="D42" s="43">
        <v>0.595703</v>
      </c>
      <c r="E42" s="43">
        <v>0.632812</v>
      </c>
      <c r="F42" s="43">
        <v>0.378906</v>
      </c>
      <c r="G42" s="43">
        <v>0.914062</v>
      </c>
      <c r="H42" s="43">
        <v>0.457031</v>
      </c>
      <c r="I42" s="43">
        <v>0.789062</v>
      </c>
      <c r="J42" s="43">
        <v>0.613281</v>
      </c>
      <c r="K42" s="43">
        <v>0.53125</v>
      </c>
      <c r="L42" s="43">
        <v>0.449218</v>
      </c>
      <c r="M42" s="33">
        <v>0.503185</v>
      </c>
      <c r="N42" s="33">
        <v>0.125</v>
      </c>
      <c r="O42" s="33">
        <v>0.190476</v>
      </c>
      <c r="P42" s="33">
        <v>0.245283</v>
      </c>
      <c r="Q42" s="33">
        <v>0.306985</v>
      </c>
      <c r="R42" s="33">
        <v>0.301508</v>
      </c>
      <c r="S42" s="33">
        <v>0.503185</v>
      </c>
      <c r="T42" s="33">
        <v>0.190476</v>
      </c>
      <c r="U42" s="33">
        <v>0.394191</v>
      </c>
      <c r="V42" s="43">
        <v>0.263285</v>
      </c>
      <c r="W42" s="43">
        <v>0</v>
      </c>
      <c r="X42" s="43">
        <v>0.118357</v>
      </c>
      <c r="Y42" s="43">
        <v>0.050725</v>
      </c>
      <c r="Z42" s="43">
        <v>0.210145</v>
      </c>
      <c r="AA42" s="43">
        <v>0.115942</v>
      </c>
      <c r="AB42" s="43">
        <v>0.074879</v>
      </c>
      <c r="AC42" s="43">
        <v>0</v>
      </c>
      <c r="AD42" s="43">
        <v>0.002415</v>
      </c>
      <c r="AE42" s="43">
        <v>0.009662</v>
      </c>
      <c r="AF42" s="43">
        <v>0.050725</v>
      </c>
      <c r="AG42" s="43">
        <v>0.103865</v>
      </c>
      <c r="AH42" s="33">
        <v>0.789062</v>
      </c>
      <c r="AI42" s="33">
        <v>0.53125</v>
      </c>
      <c r="AJ42" s="33">
        <v>0.573066</v>
      </c>
      <c r="AK42" s="33">
        <v>0.541667</v>
      </c>
      <c r="AL42" s="33">
        <v>0.435754</v>
      </c>
    </row>
    <row r="43" spans="1:38">
      <c r="A43" s="149" t="s">
        <v>362</v>
      </c>
      <c r="B43" s="31" t="s">
        <v>67</v>
      </c>
      <c r="C43" s="31" t="s">
        <v>49</v>
      </c>
      <c r="D43" s="43">
        <v>0.296875</v>
      </c>
      <c r="E43" s="43">
        <v>0.601562</v>
      </c>
      <c r="F43" s="43">
        <v>0.269531</v>
      </c>
      <c r="G43" s="43">
        <v>0.257812</v>
      </c>
      <c r="H43" s="43">
        <v>0.058593</v>
      </c>
      <c r="I43" s="43">
        <v>0.410156</v>
      </c>
      <c r="J43" s="43">
        <v>0.308593</v>
      </c>
      <c r="K43" s="43">
        <v>0.261718</v>
      </c>
      <c r="L43" s="43">
        <v>0.207031</v>
      </c>
      <c r="M43" s="33">
        <v>0.369427</v>
      </c>
      <c r="N43" s="33">
        <v>0.1875</v>
      </c>
      <c r="O43" s="33">
        <v>0.095238</v>
      </c>
      <c r="P43" s="33">
        <v>0.528302</v>
      </c>
      <c r="Q43" s="33">
        <v>0.371324</v>
      </c>
      <c r="R43" s="33">
        <v>0.38526</v>
      </c>
      <c r="S43" s="33">
        <v>0.082803</v>
      </c>
      <c r="T43" s="33">
        <v>0</v>
      </c>
      <c r="U43" s="33">
        <v>0.053942</v>
      </c>
      <c r="V43" s="43">
        <v>0.011111</v>
      </c>
      <c r="W43" s="43">
        <v>0</v>
      </c>
      <c r="X43" s="43">
        <v>0.345833</v>
      </c>
      <c r="Y43" s="43">
        <v>0.263889</v>
      </c>
      <c r="Z43" s="43">
        <v>0.023611</v>
      </c>
      <c r="AA43" s="43">
        <v>0.145833</v>
      </c>
      <c r="AB43" s="43">
        <v>0.033333</v>
      </c>
      <c r="AC43" s="43">
        <v>0</v>
      </c>
      <c r="AD43" s="43">
        <v>0.002778</v>
      </c>
      <c r="AE43" s="43">
        <v>0.015278</v>
      </c>
      <c r="AF43" s="43">
        <v>0.106944</v>
      </c>
      <c r="AG43" s="43">
        <v>0.051389</v>
      </c>
      <c r="AH43" s="33">
        <v>0.410156</v>
      </c>
      <c r="AI43" s="33">
        <v>0.259115</v>
      </c>
      <c r="AJ43" s="33">
        <v>0.25788</v>
      </c>
      <c r="AK43" s="33">
        <v>0.283333</v>
      </c>
      <c r="AL43" s="33">
        <v>0.22905</v>
      </c>
    </row>
    <row r="44" spans="1:38" s="148">
      <c r="A44" s="152" t="s">
        <v>363</v>
      </c>
      <c r="B44" s="31" t="s">
        <v>67</v>
      </c>
      <c r="C44" s="31" t="s">
        <v>49</v>
      </c>
      <c r="D44" s="151">
        <v>0.423645</v>
      </c>
      <c r="E44" s="153">
        <v>0.551181</v>
      </c>
      <c r="F44" s="151">
        <v>0.329411</v>
      </c>
      <c r="G44" s="151">
        <v>0.588235</v>
      </c>
      <c r="H44" s="151">
        <v>0.223107</v>
      </c>
      <c r="I44" s="151">
        <v>0.623529</v>
      </c>
      <c r="J44" s="151">
        <v>0.449218</v>
      </c>
      <c r="K44" s="151">
        <v>0.325396</v>
      </c>
      <c r="L44" s="151">
        <v>0.29365</v>
      </c>
      <c r="M44" s="154">
        <v>0.407643</v>
      </c>
      <c r="N44" s="154">
        <v>0.25</v>
      </c>
      <c r="O44" s="154">
        <v>0.192771</v>
      </c>
      <c r="P44" s="154">
        <v>0.660377</v>
      </c>
      <c r="Q44" s="154">
        <v>0.374532</v>
      </c>
      <c r="R44" s="154">
        <v>0.400341</v>
      </c>
      <c r="S44" s="154">
        <v>0</v>
      </c>
      <c r="T44" s="154">
        <v>0</v>
      </c>
      <c r="U44" s="154">
        <v>0</v>
      </c>
      <c r="V44" s="151">
        <v>0.049573</v>
      </c>
      <c r="W44" s="151">
        <v>0</v>
      </c>
      <c r="X44" s="151">
        <v>0.305983</v>
      </c>
      <c r="Y44" s="151">
        <v>0.179487</v>
      </c>
      <c r="Z44" s="151">
        <v>0.035897</v>
      </c>
      <c r="AA44" s="151">
        <v>0.17094</v>
      </c>
      <c r="AB44" s="151">
        <v>0.042735</v>
      </c>
      <c r="AC44" s="151">
        <v>0.001709</v>
      </c>
      <c r="AD44" s="151">
        <v>0.003419</v>
      </c>
      <c r="AE44" s="151">
        <v>0.022222</v>
      </c>
      <c r="AF44" s="151">
        <v>0.092308</v>
      </c>
      <c r="AG44" s="151">
        <v>0.095727</v>
      </c>
      <c r="AH44" s="154">
        <v>0.623529</v>
      </c>
      <c r="AI44" s="154">
        <v>0.356579</v>
      </c>
      <c r="AJ44" s="154">
        <v>0.33815</v>
      </c>
      <c r="AK44" s="154">
        <v>0.430962</v>
      </c>
      <c r="AL44" s="154">
        <v>0.291429</v>
      </c>
    </row>
    <row r="45" spans="1:38">
      <c r="A45" t="s">
        <v>72</v>
      </c>
      <c r="B45" s="31" t="s">
        <v>67</v>
      </c>
      <c r="C45" s="31" t="s">
        <v>44</v>
      </c>
      <c r="D45" s="43">
        <v>0.533203</v>
      </c>
      <c r="E45" s="43">
        <v>0.550781</v>
      </c>
      <c r="F45" s="43">
        <v>0.351562</v>
      </c>
      <c r="G45" s="43">
        <v>0.757812</v>
      </c>
      <c r="H45" s="43">
        <v>0.472656</v>
      </c>
      <c r="I45" s="43">
        <v>0.792968</v>
      </c>
      <c r="J45" s="43">
        <v>0.53125</v>
      </c>
      <c r="K45" s="43">
        <v>0.4375</v>
      </c>
      <c r="L45" s="43">
        <v>0.371093</v>
      </c>
      <c r="M45" s="33">
        <v>0.464968</v>
      </c>
      <c r="N45" s="33">
        <v>0.1875</v>
      </c>
      <c r="O45" s="33">
        <v>0.166667</v>
      </c>
      <c r="P45" s="33">
        <v>0.377358</v>
      </c>
      <c r="Q45" s="33">
        <v>0.238971</v>
      </c>
      <c r="R45" s="33">
        <v>0.251256</v>
      </c>
      <c r="S45" s="33">
        <v>0.433121</v>
      </c>
      <c r="T45" s="33">
        <v>0.166667</v>
      </c>
      <c r="U45" s="33">
        <v>0.340249</v>
      </c>
      <c r="V45" s="43">
        <v>0.167364</v>
      </c>
      <c r="W45" s="43">
        <v>0.002092</v>
      </c>
      <c r="X45" s="43">
        <v>0.17364</v>
      </c>
      <c r="Y45" s="43">
        <v>0.129707</v>
      </c>
      <c r="Z45" s="43">
        <v>0.083682</v>
      </c>
      <c r="AA45" s="43">
        <v>0.165272</v>
      </c>
      <c r="AB45" s="43">
        <v>0.056485</v>
      </c>
      <c r="AC45" s="43">
        <v>0</v>
      </c>
      <c r="AD45" s="43">
        <v>0.002092</v>
      </c>
      <c r="AE45" s="43">
        <v>0.037657</v>
      </c>
      <c r="AF45" s="33">
        <v>0.056485</v>
      </c>
      <c r="AG45" s="43">
        <v>0.125523</v>
      </c>
      <c r="AH45" s="33">
        <v>0.792969</v>
      </c>
      <c r="AI45" s="33">
        <v>0.446615</v>
      </c>
      <c r="AJ45" s="33">
        <v>0.441261</v>
      </c>
      <c r="AK45" s="33">
        <v>0.508333</v>
      </c>
      <c r="AL45" s="33">
        <v>0.374302</v>
      </c>
    </row>
    <row r="46" spans="1:38">
      <c r="A46" t="s">
        <v>73</v>
      </c>
      <c r="B46" s="31" t="s">
        <v>67</v>
      </c>
      <c r="C46" s="31" t="s">
        <v>44</v>
      </c>
      <c r="D46" s="43">
        <v>0.452148</v>
      </c>
      <c r="E46" s="43">
        <v>0.328125</v>
      </c>
      <c r="F46" s="43">
        <v>0.253906</v>
      </c>
      <c r="G46" s="43">
        <v>0.824218</v>
      </c>
      <c r="H46" s="43">
        <v>0.402343</v>
      </c>
      <c r="I46" s="43">
        <v>0.722656</v>
      </c>
      <c r="J46" s="43">
        <v>0.40625</v>
      </c>
      <c r="K46" s="43">
        <v>0.355468</v>
      </c>
      <c r="L46" s="43">
        <v>0.324218</v>
      </c>
      <c r="M46" s="33">
        <v>0.363057</v>
      </c>
      <c r="N46" s="33">
        <v>0.0625</v>
      </c>
      <c r="O46" s="33">
        <v>0.083333</v>
      </c>
      <c r="P46" s="33">
        <v>0.283019</v>
      </c>
      <c r="Q46" s="33">
        <v>0.202206</v>
      </c>
      <c r="R46" s="33">
        <v>0.20938</v>
      </c>
      <c r="S46" s="33">
        <v>0.350318</v>
      </c>
      <c r="T46" s="33">
        <v>0.083333</v>
      </c>
      <c r="U46" s="33">
        <v>0.257261</v>
      </c>
      <c r="V46" s="43">
        <v>0.327986</v>
      </c>
      <c r="W46" s="43">
        <v>0.001783</v>
      </c>
      <c r="X46" s="43">
        <v>0.106952</v>
      </c>
      <c r="Y46" s="43">
        <v>0.080214</v>
      </c>
      <c r="Z46" s="43">
        <v>0.14082</v>
      </c>
      <c r="AA46" s="43">
        <v>0.14082</v>
      </c>
      <c r="AB46" s="43">
        <v>0.035651</v>
      </c>
      <c r="AC46" s="43">
        <v>0</v>
      </c>
      <c r="AD46" s="43">
        <v>0.005348</v>
      </c>
      <c r="AE46" s="43">
        <v>0.019608</v>
      </c>
      <c r="AF46" s="43">
        <v>0.039216</v>
      </c>
      <c r="AG46" s="43">
        <v>0.101604</v>
      </c>
      <c r="AH46" s="33">
        <v>0.722656</v>
      </c>
      <c r="AI46" s="33">
        <v>0.361979</v>
      </c>
      <c r="AJ46" s="33">
        <v>0.383954</v>
      </c>
      <c r="AK46" s="33">
        <v>0.395833</v>
      </c>
      <c r="AL46" s="33">
        <v>0.273743</v>
      </c>
    </row>
    <row r="47" spans="1:38">
      <c r="A47" s="35" t="s">
        <v>74</v>
      </c>
      <c r="B47" s="31" t="s">
        <v>67</v>
      </c>
      <c r="C47" s="31" t="s">
        <v>44</v>
      </c>
      <c r="D47" s="33">
        <v>0.443359</v>
      </c>
      <c r="E47" s="43">
        <v>0.453125</v>
      </c>
      <c r="F47" s="43">
        <v>0.203125</v>
      </c>
      <c r="G47" s="43">
        <v>0.761718</v>
      </c>
      <c r="H47" s="43">
        <v>0.355468</v>
      </c>
      <c r="I47" s="43">
        <v>0.703125</v>
      </c>
      <c r="J47" s="43">
        <v>0.421875</v>
      </c>
      <c r="K47" s="43">
        <v>0.355468</v>
      </c>
      <c r="L47" s="43">
        <v>0.292968</v>
      </c>
      <c r="M47" s="33">
        <v>0.299363</v>
      </c>
      <c r="N47" s="33">
        <v>0</v>
      </c>
      <c r="O47" s="33">
        <v>0.059524</v>
      </c>
      <c r="P47" s="33">
        <v>0.283019</v>
      </c>
      <c r="Q47" s="33">
        <v>0.204044</v>
      </c>
      <c r="R47" s="33">
        <v>0.211055</v>
      </c>
      <c r="S47" s="33">
        <v>0.273885</v>
      </c>
      <c r="T47" s="33">
        <v>0.059524</v>
      </c>
      <c r="U47" s="33">
        <v>0.19917</v>
      </c>
      <c r="V47" s="43">
        <v>0.157895</v>
      </c>
      <c r="W47" s="43">
        <v>0.008772</v>
      </c>
      <c r="X47" s="43">
        <v>0.152632</v>
      </c>
      <c r="Y47" s="43">
        <v>0.107018</v>
      </c>
      <c r="Z47" s="43">
        <v>0.085965</v>
      </c>
      <c r="AA47" s="43">
        <v>0.247368</v>
      </c>
      <c r="AB47" s="43">
        <v>0.049123</v>
      </c>
      <c r="AC47" s="43">
        <v>0.003509</v>
      </c>
      <c r="AD47" s="43">
        <v>0.003509</v>
      </c>
      <c r="AE47" s="43">
        <v>0.021053</v>
      </c>
      <c r="AF47" s="43">
        <v>0.042105</v>
      </c>
      <c r="AG47" s="43">
        <v>0.121053</v>
      </c>
      <c r="AH47" s="33">
        <v>0.703125</v>
      </c>
      <c r="AI47" s="33">
        <v>0.356771</v>
      </c>
      <c r="AJ47" s="33">
        <v>0.383954</v>
      </c>
      <c r="AK47" s="33">
        <v>0.370833</v>
      </c>
      <c r="AL47" s="33">
        <v>0.284916</v>
      </c>
    </row>
    <row r="48" spans="1:38">
      <c r="A48" s="35" t="s">
        <v>364</v>
      </c>
      <c r="B48" s="31" t="s">
        <v>67</v>
      </c>
      <c r="C48" s="31" t="s">
        <v>44</v>
      </c>
      <c r="D48" s="43">
        <v>0.52832</v>
      </c>
      <c r="E48" s="43">
        <v>0.6875</v>
      </c>
      <c r="F48" s="43">
        <v>0.320312</v>
      </c>
      <c r="G48" s="43">
        <v>0.726562</v>
      </c>
      <c r="H48" s="43">
        <v>0.378906</v>
      </c>
      <c r="I48" s="43">
        <v>0.730468</v>
      </c>
      <c r="J48" s="43">
        <v>0.546875</v>
      </c>
      <c r="K48" s="43">
        <v>0.46875</v>
      </c>
      <c r="L48" s="43">
        <v>0.367187</v>
      </c>
      <c r="M48" s="33">
        <v>0.414013</v>
      </c>
      <c r="N48" s="33">
        <v>0.1875</v>
      </c>
      <c r="O48" s="33">
        <v>0.166667</v>
      </c>
      <c r="P48" s="33">
        <v>0.320755</v>
      </c>
      <c r="Q48" s="33">
        <v>0.323529</v>
      </c>
      <c r="R48" s="33">
        <v>0.323283</v>
      </c>
      <c r="S48" s="33">
        <v>0.401274</v>
      </c>
      <c r="T48" s="33">
        <v>0.154762</v>
      </c>
      <c r="U48" s="33">
        <v>0.315353</v>
      </c>
      <c r="V48" s="43">
        <v>0.043478</v>
      </c>
      <c r="W48" s="43">
        <v>0.006211</v>
      </c>
      <c r="X48" s="43">
        <v>0.306418</v>
      </c>
      <c r="Y48" s="43">
        <v>0.142857</v>
      </c>
      <c r="Z48" s="43">
        <v>0.093168</v>
      </c>
      <c r="AA48" s="43">
        <v>0.184265</v>
      </c>
      <c r="AB48" s="43">
        <v>0.05176</v>
      </c>
      <c r="AC48" s="43">
        <v>0.004141</v>
      </c>
      <c r="AD48" s="43">
        <v>0.00207</v>
      </c>
      <c r="AE48" s="43">
        <v>0.012422</v>
      </c>
      <c r="AF48" s="43">
        <v>0.020704</v>
      </c>
      <c r="AG48" s="43">
        <v>0.132505</v>
      </c>
      <c r="AH48" s="33">
        <v>0.730469</v>
      </c>
      <c r="AI48" s="33">
        <v>0.460937</v>
      </c>
      <c r="AJ48" s="33">
        <v>0.452722</v>
      </c>
      <c r="AK48" s="33">
        <v>0.533333</v>
      </c>
      <c r="AL48" s="33">
        <v>0.379888</v>
      </c>
    </row>
    <row r="49" spans="1:38">
      <c r="A49" s="35" t="s">
        <v>365</v>
      </c>
      <c r="B49" s="31" t="s">
        <v>67</v>
      </c>
      <c r="C49" s="31" t="s">
        <v>44</v>
      </c>
      <c r="D49" s="43">
        <v>0.804687</v>
      </c>
      <c r="E49" s="43">
        <v>0.886718</v>
      </c>
      <c r="F49" s="43">
        <v>0.632812</v>
      </c>
      <c r="G49" s="43">
        <v>0.847656</v>
      </c>
      <c r="H49" s="43">
        <v>0.851562</v>
      </c>
      <c r="I49" s="43">
        <v>0.859375</v>
      </c>
      <c r="J49" s="43">
        <v>0.828125</v>
      </c>
      <c r="K49" s="43">
        <v>0.734375</v>
      </c>
      <c r="L49" s="43">
        <v>0.796875</v>
      </c>
      <c r="M49" s="33">
        <v>0.707006</v>
      </c>
      <c r="N49" s="33">
        <v>0.625</v>
      </c>
      <c r="O49" s="33">
        <v>0.5</v>
      </c>
      <c r="P49" s="33">
        <v>0.735849</v>
      </c>
      <c r="Q49" s="33">
        <v>0.628676</v>
      </c>
      <c r="R49" s="33">
        <v>0.638191</v>
      </c>
      <c r="S49" s="33">
        <v>0.687898</v>
      </c>
      <c r="T49" s="33">
        <v>0.5</v>
      </c>
      <c r="U49" s="33">
        <v>0.622407</v>
      </c>
      <c r="V49" s="43">
        <v>0.04</v>
      </c>
      <c r="W49" s="43">
        <v>0.015</v>
      </c>
      <c r="X49" s="43">
        <v>0.09</v>
      </c>
      <c r="Y49" s="43">
        <v>0.195</v>
      </c>
      <c r="Z49" s="43">
        <v>0.205</v>
      </c>
      <c r="AA49" s="43">
        <v>0.145</v>
      </c>
      <c r="AB49" s="43">
        <v>0.09</v>
      </c>
      <c r="AC49" s="43">
        <v>0</v>
      </c>
      <c r="AD49" s="43">
        <v>0</v>
      </c>
      <c r="AE49" s="43">
        <v>0.025</v>
      </c>
      <c r="AF49" s="43">
        <v>0.035</v>
      </c>
      <c r="AG49" s="43">
        <v>0.16</v>
      </c>
      <c r="AH49" s="33">
        <v>0.859375</v>
      </c>
      <c r="AI49" s="33">
        <v>0.786458</v>
      </c>
      <c r="AJ49" s="33">
        <v>0.802292</v>
      </c>
      <c r="AK49" s="33">
        <v>0.783333</v>
      </c>
      <c r="AL49" s="33">
        <v>0.759776</v>
      </c>
    </row>
    <row r="50" spans="1:48" s="50">
      <c r="A50" s="50" t="s">
        <v>75</v>
      </c>
      <c r="B50" s="155" t="s"/>
      <c r="C50" s="155" t="s"/>
      <c r="D50" s="50" t="s"/>
      <c r="E50" s="50" t="s"/>
      <c r="F50" s="50" t="s"/>
      <c r="G50" s="50" t="s"/>
      <c r="H50" s="50" t="s"/>
      <c r="I50" s="50" t="s"/>
      <c r="J50" s="50" t="s"/>
      <c r="K50" s="50" t="s"/>
      <c r="L50" s="50" t="s"/>
      <c r="M50" s="50" t="s"/>
      <c r="N50" s="50" t="s"/>
      <c r="O50" s="50" t="s"/>
      <c r="P50" s="50" t="s"/>
      <c r="Q50" s="50" t="s"/>
      <c r="R50" s="50" t="s"/>
      <c r="S50" s="50" t="s"/>
      <c r="T50" s="50" t="s"/>
      <c r="U50" s="50" t="s"/>
      <c r="V50" s="50" t="s"/>
      <c r="W50" s="50" t="s"/>
      <c r="X50" s="50" t="s"/>
      <c r="Y50" s="50" t="s"/>
      <c r="Z50" s="50" t="s"/>
      <c r="AA50" s="50" t="s"/>
      <c r="AB50" s="50" t="s"/>
      <c r="AC50" s="50" t="s"/>
      <c r="AD50" s="50" t="s"/>
      <c r="AE50" s="50" t="s"/>
      <c r="AF50" s="50" t="s"/>
      <c r="AG50" s="50" t="s"/>
      <c r="AH50" s="50" t="s"/>
      <c r="AI50" s="50" t="s"/>
      <c r="AJ50" s="50" t="s"/>
      <c r="AK50" s="50" t="s"/>
      <c r="AL50" s="50" t="s"/>
      <c r="AM50" s="147" t="s"/>
      <c r="AN50" s="147" t="s"/>
      <c r="AO50" s="147" t="s"/>
      <c r="AP50" s="147" t="s"/>
      <c r="AQ50" s="147" t="s"/>
      <c r="AR50" s="147" t="s"/>
      <c r="AS50" s="147" t="s"/>
      <c r="AT50" s="147" t="s"/>
      <c r="AU50" s="147" t="s"/>
      <c r="AV50" s="147" t="s"/>
    </row>
    <row r="51" spans="1:40">
      <c r="A51" t="s">
        <v>366</v>
      </c>
      <c r="B51" s="31" t="s">
        <v>75</v>
      </c>
      <c r="C51" s="31" t="s">
        <v>49</v>
      </c>
      <c r="D51" s="43">
        <v>0.441406</v>
      </c>
      <c r="E51" s="43">
        <v>0.4375</v>
      </c>
      <c r="F51" s="43">
        <v>0.230468</v>
      </c>
      <c r="G51" s="43">
        <v>0.871093</v>
      </c>
      <c r="H51" s="43">
        <v>0.226562</v>
      </c>
      <c r="I51" s="43">
        <v>0.707031</v>
      </c>
      <c r="J51" s="43">
        <v>0.394531</v>
      </c>
      <c r="K51" s="43">
        <v>0.347656</v>
      </c>
      <c r="L51" s="43">
        <v>0.316406</v>
      </c>
      <c r="M51" s="33">
        <v>0.356688</v>
      </c>
      <c r="N51" s="33">
        <v>0</v>
      </c>
      <c r="O51" s="33">
        <v>0.035714</v>
      </c>
      <c r="P51" s="33">
        <v>0.132075</v>
      </c>
      <c r="Q51" s="33">
        <v>0.091912</v>
      </c>
      <c r="R51" s="33">
        <v>0.095477</v>
      </c>
      <c r="S51" s="33">
        <v>0.350318</v>
      </c>
      <c r="T51" s="33">
        <v>0.035714</v>
      </c>
      <c r="U51" s="33">
        <v>0.240664</v>
      </c>
      <c r="V51" s="43">
        <v>0.34965</v>
      </c>
      <c r="W51" s="43">
        <v>0.001748</v>
      </c>
      <c r="X51" s="43">
        <v>0.143357</v>
      </c>
      <c r="Y51" s="43">
        <v>0.052448</v>
      </c>
      <c r="Z51" s="43">
        <v>0.222028</v>
      </c>
      <c r="AA51" s="43">
        <v>0.115385</v>
      </c>
      <c r="AB51" s="43">
        <v>0.020979</v>
      </c>
      <c r="AC51" s="43">
        <v>0</v>
      </c>
      <c r="AD51" s="43">
        <v>0.001748</v>
      </c>
      <c r="AE51" s="43">
        <v>0.017483</v>
      </c>
      <c r="AF51" s="43">
        <v>0.017483</v>
      </c>
      <c r="AG51" s="43">
        <v>0.057692</v>
      </c>
      <c r="AH51" s="33">
        <v>0.707031</v>
      </c>
      <c r="AI51" s="33">
        <v>0.352865</v>
      </c>
      <c r="AJ51" s="33">
        <v>0.386819</v>
      </c>
      <c r="AK51" s="33">
        <v>0.358333</v>
      </c>
      <c r="AL51" s="33">
        <v>0.27933</v>
      </c>
      <c r="AM51" s="43" t="s"/>
      <c r="AN51" s="43" t="s"/>
    </row>
    <row r="52" spans="1:40">
      <c r="A52" t="s">
        <v>367</v>
      </c>
      <c r="B52" s="31" t="s">
        <v>75</v>
      </c>
      <c r="C52" s="31" t="s">
        <v>49</v>
      </c>
      <c r="D52" s="43">
        <v>0.277343</v>
      </c>
      <c r="E52" s="43">
        <v>0.144531</v>
      </c>
      <c r="F52" s="43">
        <v>0.050781</v>
      </c>
      <c r="G52" s="43">
        <v>0.863281</v>
      </c>
      <c r="H52" s="43">
        <v>0.050781</v>
      </c>
      <c r="I52" s="43">
        <v>0.34375</v>
      </c>
      <c r="J52" s="43">
        <v>0.269531</v>
      </c>
      <c r="K52" s="43">
        <v>0.257812</v>
      </c>
      <c r="L52" s="43">
        <v>0.238281</v>
      </c>
      <c r="M52" s="43">
        <v>0.076433</v>
      </c>
      <c r="N52" s="33">
        <v>0</v>
      </c>
      <c r="O52" s="33">
        <v>0.011905</v>
      </c>
      <c r="P52" s="33">
        <v>0.075472</v>
      </c>
      <c r="Q52" s="33">
        <v>0.097426</v>
      </c>
      <c r="R52" s="33">
        <v>0.095477</v>
      </c>
      <c r="S52" s="33">
        <v>0.070064</v>
      </c>
      <c r="T52" s="33">
        <v>0</v>
      </c>
      <c r="U52" s="33">
        <v>0.045643</v>
      </c>
      <c r="V52" s="43">
        <v>0.251351</v>
      </c>
      <c r="W52" s="43">
        <v>0</v>
      </c>
      <c r="X52" s="43">
        <v>0.197297</v>
      </c>
      <c r="Y52" s="43">
        <v>0.047297</v>
      </c>
      <c r="Z52" s="43">
        <v>0.354054</v>
      </c>
      <c r="AA52" s="43">
        <v>0.075676</v>
      </c>
      <c r="AB52" s="43">
        <v>0.037838</v>
      </c>
      <c r="AC52" s="43">
        <v>0.001351</v>
      </c>
      <c r="AD52" s="43">
        <v>0.002703</v>
      </c>
      <c r="AE52" s="43">
        <v>0.005405</v>
      </c>
      <c r="AF52" s="43">
        <v>0.013514</v>
      </c>
      <c r="AG52" s="43">
        <v>0.013514</v>
      </c>
      <c r="AH52" s="33">
        <v>0.34375</v>
      </c>
      <c r="AI52" s="33">
        <v>0.255208</v>
      </c>
      <c r="AJ52" s="33">
        <v>0.303725</v>
      </c>
      <c r="AK52" s="33">
        <v>0.229167</v>
      </c>
      <c r="AL52" s="33">
        <v>0.195531</v>
      </c>
      <c r="AM52" s="43" t="s"/>
      <c r="AN52" s="43" t="s"/>
    </row>
    <row r="53" spans="1:40">
      <c r="A53" t="s">
        <v>78</v>
      </c>
      <c r="B53" s="31" t="s">
        <v>75</v>
      </c>
      <c r="C53" s="31" t="s">
        <v>49</v>
      </c>
      <c r="D53" s="43">
        <v>0.251953</v>
      </c>
      <c r="E53" s="43">
        <v>0.023437</v>
      </c>
      <c r="F53" s="43">
        <v>0.035156</v>
      </c>
      <c r="G53" s="43">
        <v>0.90625</v>
      </c>
      <c r="H53" s="43">
        <v>0.042968</v>
      </c>
      <c r="I53" s="43">
        <v>0.285156</v>
      </c>
      <c r="J53" s="43">
        <v>0.261718</v>
      </c>
      <c r="K53" s="43">
        <v>0.234375</v>
      </c>
      <c r="L53" s="33">
        <v>0.226562</v>
      </c>
      <c r="M53" s="33">
        <v>0.057325</v>
      </c>
      <c r="N53" s="33">
        <v>0</v>
      </c>
      <c r="O53" s="33">
        <v>0</v>
      </c>
      <c r="P53" s="33">
        <v>0.037736</v>
      </c>
      <c r="Q53" s="33">
        <v>0.049632</v>
      </c>
      <c r="R53" s="33">
        <v>0.048576</v>
      </c>
      <c r="S53" s="33">
        <v>0.057325</v>
      </c>
      <c r="T53" s="33">
        <v>0</v>
      </c>
      <c r="U53" s="33">
        <v>0.037344</v>
      </c>
      <c r="V53" s="43">
        <v>0.347258</v>
      </c>
      <c r="W53" s="43">
        <v>0</v>
      </c>
      <c r="X53" s="43">
        <v>0.070496</v>
      </c>
      <c r="Y53" s="43">
        <v>0.031332</v>
      </c>
      <c r="Z53" s="43">
        <v>0.466057</v>
      </c>
      <c r="AA53" s="43">
        <v>0.045692</v>
      </c>
      <c r="AB53" s="43">
        <v>0.027415</v>
      </c>
      <c r="AC53" s="43">
        <v>0</v>
      </c>
      <c r="AD53" s="43">
        <v>0</v>
      </c>
      <c r="AE53" s="43">
        <v>0.001305</v>
      </c>
      <c r="AF53" s="43">
        <v>0.002611</v>
      </c>
      <c r="AG53" s="43">
        <v>0.007833</v>
      </c>
      <c r="AH53" s="33">
        <v>0.285156</v>
      </c>
      <c r="AI53" s="33">
        <v>0.240885</v>
      </c>
      <c r="AJ53" s="33">
        <v>0.297994</v>
      </c>
      <c r="AK53" s="33">
        <v>0.216667</v>
      </c>
      <c r="AL53" s="33">
        <v>0.162011</v>
      </c>
      <c r="AM53" s="43" t="s"/>
      <c r="AN53" s="43" t="s"/>
    </row>
    <row r="54" spans="1:39">
      <c r="A54" s="149" t="s">
        <v>368</v>
      </c>
      <c r="B54" s="31" t="s">
        <v>75</v>
      </c>
      <c r="C54" s="31" t="s">
        <v>49</v>
      </c>
      <c r="D54" s="156">
        <v>0.443356</v>
      </c>
      <c r="E54" s="43">
        <v>0.557291</v>
      </c>
      <c r="F54" s="43">
        <v>0.363636</v>
      </c>
      <c r="G54" s="43">
        <v>0.76129</v>
      </c>
      <c r="H54" s="43">
        <v>0.168224</v>
      </c>
      <c r="I54" s="43">
        <v>0.615789</v>
      </c>
      <c r="J54" s="43">
        <v>0.421621</v>
      </c>
      <c r="K54" s="43">
        <v>0.33908</v>
      </c>
      <c r="L54" s="33">
        <v>0.379518</v>
      </c>
      <c r="M54" s="33">
        <v>0.45</v>
      </c>
      <c r="N54" s="33">
        <v>0.272727</v>
      </c>
      <c r="O54" s="33">
        <v>0.181818</v>
      </c>
      <c r="P54" s="33">
        <v>0.526316</v>
      </c>
      <c r="Q54" s="33">
        <v>0.366667</v>
      </c>
      <c r="R54" s="33">
        <v>0.388489</v>
      </c>
      <c r="S54" s="33">
        <v>0.36</v>
      </c>
      <c r="T54" s="33">
        <v>0.113636</v>
      </c>
      <c r="U54" s="33">
        <v>0.284722</v>
      </c>
      <c r="V54" s="43">
        <v>0.211055</v>
      </c>
      <c r="W54" s="43">
        <v>0.002513</v>
      </c>
      <c r="X54" s="43">
        <v>0.369347</v>
      </c>
      <c r="Y54" s="43">
        <v>0.092965</v>
      </c>
      <c r="Z54" s="43">
        <v>0.09799</v>
      </c>
      <c r="AA54" s="43">
        <v>0.077889</v>
      </c>
      <c r="AB54" s="43">
        <v>0.020101</v>
      </c>
      <c r="AC54" s="43">
        <v>0</v>
      </c>
      <c r="AD54" s="43">
        <v>0.005025</v>
      </c>
      <c r="AE54" s="43">
        <v>0.020101</v>
      </c>
      <c r="AF54" s="43">
        <v>0.032663</v>
      </c>
      <c r="AG54" s="43">
        <v>0.070352</v>
      </c>
      <c r="AH54" s="33">
        <v>0.615789</v>
      </c>
      <c r="AI54" s="33">
        <v>0.380952</v>
      </c>
      <c r="AJ54" s="33">
        <v>0.422907</v>
      </c>
      <c r="AK54" s="33">
        <v>0.345029</v>
      </c>
      <c r="AL54" s="33">
        <v>0.354331</v>
      </c>
      <c r="AM54" s="43" t="s"/>
    </row>
    <row r="55" spans="1:40">
      <c r="A55" t="s">
        <v>369</v>
      </c>
      <c r="B55" s="31" t="s">
        <v>75</v>
      </c>
      <c r="C55" s="31" t="s">
        <v>49</v>
      </c>
      <c r="D55" s="43">
        <v>0.43457</v>
      </c>
      <c r="E55" s="43">
        <v>0.40625</v>
      </c>
      <c r="F55" s="43">
        <v>0.183593</v>
      </c>
      <c r="G55" s="43">
        <v>0.917968</v>
      </c>
      <c r="H55" s="43">
        <v>0.230468</v>
      </c>
      <c r="I55" s="43">
        <v>0.6875</v>
      </c>
      <c r="J55" s="43">
        <v>0.402343</v>
      </c>
      <c r="K55" s="43">
        <v>0.339843</v>
      </c>
      <c r="L55" s="33">
        <v>0.308593</v>
      </c>
      <c r="M55" s="33">
        <v>0.299363</v>
      </c>
      <c r="N55" s="33">
        <v>0</v>
      </c>
      <c r="O55" s="33">
        <v>0</v>
      </c>
      <c r="P55" s="33">
        <v>0.150943</v>
      </c>
      <c r="Q55" s="33">
        <v>0.077206</v>
      </c>
      <c r="R55" s="33">
        <v>0.083752</v>
      </c>
      <c r="S55" s="33">
        <v>0.299363</v>
      </c>
      <c r="T55" s="33">
        <v>0</v>
      </c>
      <c r="U55" s="33">
        <v>0.195021</v>
      </c>
      <c r="V55" s="43">
        <v>0.388601</v>
      </c>
      <c r="W55" s="43">
        <v>0</v>
      </c>
      <c r="X55" s="43">
        <v>0.134715</v>
      </c>
      <c r="Y55" s="43">
        <v>0.036269</v>
      </c>
      <c r="Z55" s="43">
        <v>0.221071</v>
      </c>
      <c r="AA55" s="43">
        <v>0.112263</v>
      </c>
      <c r="AB55" s="43">
        <v>0.013817</v>
      </c>
      <c r="AC55" s="43">
        <v>0</v>
      </c>
      <c r="AD55" s="43">
        <v>0.001727</v>
      </c>
      <c r="AE55" s="43">
        <v>0.010363</v>
      </c>
      <c r="AF55" s="43">
        <v>0.036269</v>
      </c>
      <c r="AG55" s="43">
        <v>0.044905</v>
      </c>
      <c r="AH55" s="33">
        <v>0.6875</v>
      </c>
      <c r="AI55" s="33">
        <v>0.35026</v>
      </c>
      <c r="AJ55" s="33">
        <v>0.409742</v>
      </c>
      <c r="AK55" s="33">
        <v>0.329167</v>
      </c>
      <c r="AL55" s="33">
        <v>0.26257</v>
      </c>
      <c r="AM55" s="43" t="s"/>
      <c r="AN55" s="43" t="s"/>
    </row>
    <row r="56" spans="1:38">
      <c r="A56" s="51" t="s">
        <v>370</v>
      </c>
      <c r="B56" s="31" t="s">
        <v>75</v>
      </c>
      <c r="C56" s="31" t="s">
        <v>49</v>
      </c>
      <c r="D56" s="43">
        <v>0.438476</v>
      </c>
      <c r="E56" s="43">
        <v>0.28125</v>
      </c>
      <c r="F56" s="43">
        <v>0.1875</v>
      </c>
      <c r="G56" s="43">
        <v>0.972656</v>
      </c>
      <c r="H56" s="43">
        <v>0.3125</v>
      </c>
      <c r="I56" s="43">
        <v>0.640625</v>
      </c>
      <c r="J56" s="43">
        <v>0.429687</v>
      </c>
      <c r="K56" s="43">
        <v>0.359375</v>
      </c>
      <c r="L56" s="33">
        <v>0.324218</v>
      </c>
      <c r="M56" s="33">
        <v>0.280255</v>
      </c>
      <c r="N56" s="33">
        <v>0.0625</v>
      </c>
      <c r="O56" s="33">
        <v>0.035714</v>
      </c>
      <c r="P56" s="33">
        <v>0.132075</v>
      </c>
      <c r="Q56" s="33">
        <v>0.09375</v>
      </c>
      <c r="R56" s="33">
        <v>0.097152</v>
      </c>
      <c r="S56" s="33">
        <v>0.267516</v>
      </c>
      <c r="T56" s="33">
        <v>0.035714</v>
      </c>
      <c r="U56" s="33">
        <v>0.186722</v>
      </c>
      <c r="V56" s="43">
        <v>0.516522</v>
      </c>
      <c r="W56" s="43">
        <v>0.001739</v>
      </c>
      <c r="X56" s="43">
        <v>0.116522</v>
      </c>
      <c r="Y56" s="43">
        <v>0.012174</v>
      </c>
      <c r="Z56" s="43">
        <v>0.154783</v>
      </c>
      <c r="AA56" s="43">
        <v>0.071304</v>
      </c>
      <c r="AB56" s="43">
        <v>0.024348</v>
      </c>
      <c r="AC56" s="43">
        <v>0.027826</v>
      </c>
      <c r="AD56" s="43">
        <v>0.006957</v>
      </c>
      <c r="AE56" s="43">
        <v>0.001739</v>
      </c>
      <c r="AF56" s="43">
        <v>0.006957</v>
      </c>
      <c r="AG56" s="43">
        <v>0.05913</v>
      </c>
      <c r="AH56" s="33">
        <v>0.640625</v>
      </c>
      <c r="AI56" s="33">
        <v>0.371094</v>
      </c>
      <c r="AJ56" s="33">
        <v>0.43553</v>
      </c>
      <c r="AK56" s="33">
        <v>0.345833</v>
      </c>
      <c r="AL56" s="33">
        <v>0.27933</v>
      </c>
    </row>
    <row r="57" spans="1:38">
      <c r="A57" s="51" t="s">
        <v>371</v>
      </c>
      <c r="B57" s="31" t="s">
        <v>75</v>
      </c>
      <c r="C57" s="31" t="s">
        <v>49</v>
      </c>
      <c r="D57" s="43">
        <v>0.292968</v>
      </c>
      <c r="E57" s="43">
        <v>0.074218</v>
      </c>
      <c r="F57" s="43">
        <v>0.074218</v>
      </c>
      <c r="G57" s="43">
        <v>0.972656</v>
      </c>
      <c r="H57" s="43">
        <v>0.050781</v>
      </c>
      <c r="I57" s="43">
        <v>0.339843</v>
      </c>
      <c r="J57" s="43">
        <v>0.285156</v>
      </c>
      <c r="K57" s="43">
        <v>0.28125</v>
      </c>
      <c r="L57" s="33">
        <v>0.265625</v>
      </c>
      <c r="M57" s="33">
        <v>0.10828</v>
      </c>
      <c r="N57" s="33">
        <v>0.0625</v>
      </c>
      <c r="O57" s="33">
        <v>0.011905</v>
      </c>
      <c r="P57" s="33">
        <v>0.188679</v>
      </c>
      <c r="Q57" s="33">
        <v>0.075368</v>
      </c>
      <c r="R57" s="33">
        <v>0.085427</v>
      </c>
      <c r="S57" s="33">
        <v>0.076433</v>
      </c>
      <c r="T57" s="33">
        <v>0.011905</v>
      </c>
      <c r="U57" s="33">
        <v>0.053942</v>
      </c>
      <c r="V57" s="43">
        <v>0.584254</v>
      </c>
      <c r="W57" s="43">
        <v>0</v>
      </c>
      <c r="X57" s="43">
        <v>0.038674</v>
      </c>
      <c r="Y57" s="43">
        <v>0.008287</v>
      </c>
      <c r="Z57" s="43">
        <v>0.310773</v>
      </c>
      <c r="AA57" s="43">
        <v>0.037293</v>
      </c>
      <c r="AB57" s="43">
        <v>0.002762</v>
      </c>
      <c r="AC57" s="43">
        <v>0.002762</v>
      </c>
      <c r="AD57" s="43">
        <v>0</v>
      </c>
      <c r="AE57" s="43">
        <v>0.004144</v>
      </c>
      <c r="AF57" s="43">
        <v>0</v>
      </c>
      <c r="AG57" s="43">
        <v>0.01105</v>
      </c>
      <c r="AH57" s="33">
        <v>0.339844</v>
      </c>
      <c r="AI57" s="33">
        <v>0.277344</v>
      </c>
      <c r="AJ57" s="33">
        <v>0.34384</v>
      </c>
      <c r="AK57" s="33">
        <v>0.241667</v>
      </c>
      <c r="AL57" s="33">
        <v>0.195531</v>
      </c>
    </row>
    <row r="58" spans="1:38">
      <c r="A58" s="51" t="s">
        <v>372</v>
      </c>
      <c r="B58" s="31" t="s">
        <v>75</v>
      </c>
      <c r="C58" s="31" t="s">
        <v>49</v>
      </c>
      <c r="D58" s="43">
        <v>0.242187</v>
      </c>
      <c r="E58" s="43">
        <v>0.035156</v>
      </c>
      <c r="F58" s="43">
        <v>0.015625</v>
      </c>
      <c r="G58" s="43">
        <v>0.90625</v>
      </c>
      <c r="H58" s="43">
        <v>0.011718</v>
      </c>
      <c r="I58" s="43">
        <v>0.261718</v>
      </c>
      <c r="J58" s="43">
        <v>0.261718</v>
      </c>
      <c r="K58" s="43">
        <v>0.230468</v>
      </c>
      <c r="L58" s="33">
        <v>0.214843</v>
      </c>
      <c r="M58" s="33">
        <v>0.025478</v>
      </c>
      <c r="N58" s="33">
        <v>0</v>
      </c>
      <c r="O58" s="33">
        <v>0</v>
      </c>
      <c r="P58" s="33">
        <v>0.018868</v>
      </c>
      <c r="Q58" s="33">
        <v>0.003676</v>
      </c>
      <c r="R58" s="33">
        <v>0.005025</v>
      </c>
      <c r="S58" s="33">
        <v>0.025478</v>
      </c>
      <c r="T58" s="33">
        <v>0</v>
      </c>
      <c r="U58" s="33">
        <v>0.016598</v>
      </c>
      <c r="V58" s="43">
        <v>0.628866</v>
      </c>
      <c r="W58" s="43">
        <v>0</v>
      </c>
      <c r="X58" s="43">
        <v>0.027062</v>
      </c>
      <c r="Y58" s="43">
        <v>0.023196</v>
      </c>
      <c r="Z58" s="43">
        <v>0.291237</v>
      </c>
      <c r="AA58" s="43">
        <v>0.010309</v>
      </c>
      <c r="AB58" s="43">
        <v>0.002577</v>
      </c>
      <c r="AC58" s="43">
        <v>0.002577</v>
      </c>
      <c r="AD58" s="43">
        <v>0.001289</v>
      </c>
      <c r="AE58" s="43">
        <v>0.002577</v>
      </c>
      <c r="AF58" s="43">
        <v>0</v>
      </c>
      <c r="AG58" s="43">
        <v>0.010309</v>
      </c>
      <c r="AH58" s="33">
        <v>0.261719</v>
      </c>
      <c r="AI58" s="33">
        <v>0.235677</v>
      </c>
      <c r="AJ58" s="33">
        <v>0.297994</v>
      </c>
      <c r="AK58" s="33">
        <v>0.195833</v>
      </c>
      <c r="AL58" s="33">
        <v>0.167598</v>
      </c>
    </row>
    <row r="59" spans="1:38">
      <c r="A59" s="51" t="s">
        <v>373</v>
      </c>
      <c r="B59" s="31" t="s">
        <v>75</v>
      </c>
      <c r="C59" s="31" t="s">
        <v>49</v>
      </c>
      <c r="D59" s="43">
        <v>0.231445</v>
      </c>
      <c r="E59" s="43">
        <v>0.011718</v>
      </c>
      <c r="F59" s="43">
        <v>0.015625</v>
      </c>
      <c r="G59" s="43">
        <v>0.898437</v>
      </c>
      <c r="H59" s="43">
        <v>0</v>
      </c>
      <c r="I59" s="43">
        <v>0.253906</v>
      </c>
      <c r="J59" s="43">
        <v>0.238281</v>
      </c>
      <c r="K59" s="43">
        <v>0.234375</v>
      </c>
      <c r="L59" s="33">
        <v>0.199218</v>
      </c>
      <c r="M59" s="33">
        <v>0.025478</v>
      </c>
      <c r="N59" s="33">
        <v>0</v>
      </c>
      <c r="O59" s="33">
        <v>0</v>
      </c>
      <c r="P59" s="33">
        <v>0.075472</v>
      </c>
      <c r="Q59" s="33">
        <v>0.056985</v>
      </c>
      <c r="R59" s="33">
        <v>0.058626</v>
      </c>
      <c r="S59" s="33">
        <v>0.025478</v>
      </c>
      <c r="T59" s="33">
        <v>0</v>
      </c>
      <c r="U59" s="33">
        <v>0.016598</v>
      </c>
      <c r="V59" s="43">
        <v>0.418043</v>
      </c>
      <c r="W59" s="43">
        <v>0.006353</v>
      </c>
      <c r="X59" s="43">
        <v>0.09784</v>
      </c>
      <c r="Y59" s="43">
        <v>0.030496</v>
      </c>
      <c r="Z59" s="43">
        <v>0.282084</v>
      </c>
      <c r="AA59" s="43">
        <v>0.110546</v>
      </c>
      <c r="AB59" s="43">
        <v>0.01906</v>
      </c>
      <c r="AC59" s="43">
        <v>0.033037</v>
      </c>
      <c r="AD59" s="43">
        <v>0</v>
      </c>
      <c r="AE59" s="43">
        <v>0</v>
      </c>
      <c r="AF59" s="43">
        <v>0.001271</v>
      </c>
      <c r="AG59" s="43">
        <v>0.001271</v>
      </c>
      <c r="AH59" s="33">
        <v>0.253906</v>
      </c>
      <c r="AI59" s="33">
        <v>0.223958</v>
      </c>
      <c r="AJ59" s="33">
        <v>0.286533</v>
      </c>
      <c r="AK59" s="33">
        <v>0.2</v>
      </c>
      <c r="AL59" s="33">
        <v>0.134078</v>
      </c>
    </row>
    <row r="60" spans="1:38">
      <c r="A60" s="157" t="s">
        <v>374</v>
      </c>
      <c r="B60" s="31" t="s">
        <v>75</v>
      </c>
      <c r="C60" s="31" t="s">
        <v>49</v>
      </c>
      <c r="D60" s="43" t="s"/>
      <c r="E60" s="43" t="s">
        <v>375</v>
      </c>
      <c r="F60" s="43" t="s"/>
      <c r="G60" s="43" t="s"/>
      <c r="H60" s="43" t="s"/>
      <c r="I60" s="43" t="s"/>
      <c r="J60" s="43" t="s"/>
      <c r="K60" s="43" t="s"/>
      <c r="L60" s="33" t="s"/>
      <c r="M60" s="33" t="s"/>
      <c r="N60" s="33" t="s"/>
      <c r="O60" s="33" t="s"/>
      <c r="P60" s="33" t="s"/>
      <c r="Q60" s="33" t="s"/>
      <c r="R60" s="33" t="s"/>
      <c r="S60" s="33" t="s"/>
      <c r="T60" s="33" t="s"/>
      <c r="U60" s="33" t="s"/>
      <c r="V60" s="43" t="s"/>
      <c r="W60" s="43" t="s"/>
      <c r="X60" s="43" t="s"/>
      <c r="Y60" s="43" t="s"/>
      <c r="Z60" s="43" t="s"/>
      <c r="AA60" s="43" t="s"/>
      <c r="AB60" s="43" t="s"/>
      <c r="AC60" s="43" t="s"/>
      <c r="AD60" s="43" t="s"/>
      <c r="AE60" s="43" t="s"/>
      <c r="AF60" s="43" t="s"/>
      <c r="AG60" s="43" t="s"/>
      <c r="AH60" s="33" t="s"/>
      <c r="AI60" s="33" t="s"/>
      <c r="AJ60" s="33" t="s"/>
      <c r="AK60" s="33" t="s"/>
      <c r="AL60" s="33" t="s"/>
    </row>
    <row r="61" spans="1:48" s="50">
      <c r="A61" s="50" t="s">
        <v>84</v>
      </c>
      <c r="B61" s="155" t="s"/>
      <c r="C61" s="155" t="s"/>
      <c r="D61" s="50" t="s"/>
      <c r="E61" s="50" t="s"/>
      <c r="F61" s="50" t="s"/>
      <c r="G61" s="50" t="s"/>
      <c r="H61" s="50" t="s"/>
      <c r="I61" s="50" t="s"/>
      <c r="J61" s="50" t="s"/>
      <c r="K61" s="50" t="s"/>
      <c r="L61" s="50" t="s"/>
      <c r="M61" s="50" t="s"/>
      <c r="N61" s="50" t="s"/>
      <c r="O61" s="50" t="s"/>
      <c r="P61" s="50" t="s"/>
      <c r="Q61" s="50" t="s"/>
      <c r="R61" s="50" t="s"/>
      <c r="S61" s="50" t="s"/>
      <c r="T61" s="50" t="s"/>
      <c r="U61" s="50" t="s"/>
      <c r="V61" s="50" t="s"/>
      <c r="W61" s="50" t="s"/>
      <c r="X61" s="50" t="s"/>
      <c r="Y61" s="50" t="s"/>
      <c r="Z61" s="50" t="s"/>
      <c r="AA61" s="50" t="s"/>
      <c r="AB61" s="50" t="s"/>
      <c r="AC61" s="50" t="s"/>
      <c r="AD61" s="50" t="s"/>
      <c r="AE61" s="50" t="s"/>
      <c r="AF61" s="50" t="s"/>
      <c r="AG61" s="50" t="s"/>
      <c r="AH61" s="50" t="s"/>
      <c r="AI61" s="50" t="s"/>
      <c r="AJ61" s="50" t="s"/>
      <c r="AK61" s="50" t="s"/>
      <c r="AL61" s="50" t="s"/>
      <c r="AM61" s="147" t="s"/>
      <c r="AN61" s="147" t="s"/>
      <c r="AO61" s="147" t="s"/>
      <c r="AP61" s="147" t="s"/>
      <c r="AQ61" s="147" t="s"/>
      <c r="AR61" s="147" t="s"/>
      <c r="AS61" s="147" t="s"/>
      <c r="AT61" s="147" t="s"/>
      <c r="AU61" s="147" t="s"/>
      <c r="AV61" s="147" t="s"/>
    </row>
    <row r="62" spans="1:38">
      <c r="A62" t="s">
        <v>376</v>
      </c>
      <c r="B62" s="31" t="s">
        <v>84</v>
      </c>
      <c r="C62" s="31" t="s">
        <v>49</v>
      </c>
      <c r="D62" s="43">
        <v>0.124023</v>
      </c>
      <c r="E62" s="43">
        <v>0.292968</v>
      </c>
      <c r="F62" s="43">
        <v>0.003906</v>
      </c>
      <c r="G62" s="43">
        <v>0.199218</v>
      </c>
      <c r="H62" s="43">
        <v>0</v>
      </c>
      <c r="I62" s="43">
        <v>0.167968</v>
      </c>
      <c r="J62" s="43">
        <v>0.121093</v>
      </c>
      <c r="K62" s="43">
        <v>0.105468</v>
      </c>
      <c r="L62" s="43">
        <v>0.101562</v>
      </c>
      <c r="M62" s="43">
        <v>0.006369</v>
      </c>
      <c r="N62" s="33">
        <v>0</v>
      </c>
      <c r="O62" s="33">
        <v>0</v>
      </c>
      <c r="P62" s="33">
        <v>0.207547</v>
      </c>
      <c r="Q62" s="33">
        <v>0.115809</v>
      </c>
      <c r="R62" s="33">
        <v>0.123953</v>
      </c>
      <c r="S62" s="33">
        <v>0</v>
      </c>
      <c r="T62" s="33">
        <v>0</v>
      </c>
      <c r="U62" s="33">
        <v>0</v>
      </c>
      <c r="V62" s="43">
        <v>0.100334</v>
      </c>
      <c r="W62" s="43">
        <v>0</v>
      </c>
      <c r="X62" s="43">
        <v>0.225195</v>
      </c>
      <c r="Y62" s="43">
        <v>0.225195</v>
      </c>
      <c r="Z62" s="43">
        <v>0.110368</v>
      </c>
      <c r="AA62" s="43">
        <v>0.217391</v>
      </c>
      <c r="AB62" s="43">
        <v>0.026756</v>
      </c>
      <c r="AC62" s="43">
        <v>0</v>
      </c>
      <c r="AD62" s="43">
        <v>0.003344</v>
      </c>
      <c r="AE62" s="43">
        <v>0.042363</v>
      </c>
      <c r="AF62" s="43">
        <v>0.024526</v>
      </c>
      <c r="AG62" s="43">
        <v>0.024526</v>
      </c>
      <c r="AH62" s="33">
        <v>0.167969</v>
      </c>
      <c r="AI62" s="33">
        <v>0.109375</v>
      </c>
      <c r="AJ62" s="33">
        <v>0.091691</v>
      </c>
      <c r="AK62" s="33">
        <v>0.133333</v>
      </c>
      <c r="AL62" s="33">
        <v>0.111732</v>
      </c>
    </row>
    <row r="63" spans="1:38">
      <c r="A63" t="s">
        <v>377</v>
      </c>
      <c r="B63" s="31" t="s">
        <v>84</v>
      </c>
      <c r="C63" s="31" t="s">
        <v>49</v>
      </c>
      <c r="D63" s="43">
        <v>0.235351</v>
      </c>
      <c r="E63" s="43">
        <v>0</v>
      </c>
      <c r="F63" s="43">
        <v>0</v>
      </c>
      <c r="G63" s="43">
        <v>0.9375</v>
      </c>
      <c r="H63" s="43">
        <v>0.003906</v>
      </c>
      <c r="I63" s="43">
        <v>0.253906</v>
      </c>
      <c r="J63" s="43">
        <v>0.246093</v>
      </c>
      <c r="K63" s="43">
        <v>0.226562</v>
      </c>
      <c r="L63" s="43">
        <v>0.214843</v>
      </c>
      <c r="M63" s="43">
        <v>0</v>
      </c>
      <c r="N63" s="33">
        <v>0</v>
      </c>
      <c r="O63" s="33">
        <v>0</v>
      </c>
      <c r="P63" s="33">
        <v>0.037736</v>
      </c>
      <c r="Q63" s="33">
        <v>0.003676</v>
      </c>
      <c r="R63" s="33">
        <v>0.0067</v>
      </c>
      <c r="S63" s="33">
        <v>0</v>
      </c>
      <c r="T63" s="33">
        <v>0</v>
      </c>
      <c r="U63" s="33">
        <v>0</v>
      </c>
      <c r="V63" s="43">
        <v>0.675607</v>
      </c>
      <c r="W63" s="43">
        <v>0</v>
      </c>
      <c r="X63" s="43">
        <v>0</v>
      </c>
      <c r="Y63" s="43">
        <v>0</v>
      </c>
      <c r="Z63" s="43">
        <v>0.315453</v>
      </c>
      <c r="AA63" s="43">
        <v>0</v>
      </c>
      <c r="AB63" s="43">
        <v>0.00894</v>
      </c>
      <c r="AC63" s="43">
        <v>0</v>
      </c>
      <c r="AD63" s="43">
        <v>0</v>
      </c>
      <c r="AE63" s="43">
        <v>0</v>
      </c>
      <c r="AF63" s="43">
        <v>0</v>
      </c>
      <c r="AG63" s="43">
        <v>0</v>
      </c>
      <c r="AH63" s="33">
        <v>0.253906</v>
      </c>
      <c r="AI63" s="33">
        <v>0.229167</v>
      </c>
      <c r="AJ63" s="33">
        <v>0.30086</v>
      </c>
      <c r="AK63" s="33">
        <v>0.183333</v>
      </c>
      <c r="AL63" s="33">
        <v>0.150838</v>
      </c>
    </row>
    <row r="64" spans="1:38">
      <c r="A64" t="s">
        <v>378</v>
      </c>
      <c r="B64" s="31" t="s">
        <v>84</v>
      </c>
      <c r="C64" s="31" t="s">
        <v>49</v>
      </c>
      <c r="D64" s="43">
        <v>0.239257</v>
      </c>
      <c r="E64" s="43">
        <v>0</v>
      </c>
      <c r="F64" s="43">
        <v>0</v>
      </c>
      <c r="G64" s="43">
        <v>0.953125</v>
      </c>
      <c r="H64" s="43">
        <v>0.003906</v>
      </c>
      <c r="I64" s="43">
        <v>0.234375</v>
      </c>
      <c r="J64" s="43">
        <v>0.226562</v>
      </c>
      <c r="K64" s="43">
        <v>0.25</v>
      </c>
      <c r="L64" s="43">
        <v>0.246093</v>
      </c>
      <c r="M64" s="43">
        <v>0</v>
      </c>
      <c r="N64" s="33">
        <v>0</v>
      </c>
      <c r="O64" s="33">
        <v>0</v>
      </c>
      <c r="P64" s="33">
        <v>0.037736</v>
      </c>
      <c r="Q64" s="33">
        <v>0.003676</v>
      </c>
      <c r="R64" s="33">
        <v>0.0067</v>
      </c>
      <c r="S64" s="33">
        <v>0</v>
      </c>
      <c r="T64" s="33">
        <v>0</v>
      </c>
      <c r="U64" s="33">
        <v>0</v>
      </c>
      <c r="V64" s="43">
        <v>0.676508</v>
      </c>
      <c r="W64" s="43">
        <v>0</v>
      </c>
      <c r="X64" s="43">
        <v>0</v>
      </c>
      <c r="Y64" s="43">
        <v>0</v>
      </c>
      <c r="Z64" s="43">
        <v>0.323492</v>
      </c>
      <c r="AA64" s="43">
        <v>0</v>
      </c>
      <c r="AB64" s="43">
        <v>0</v>
      </c>
      <c r="AC64" s="43">
        <v>0</v>
      </c>
      <c r="AD64" s="43">
        <v>0</v>
      </c>
      <c r="AE64" s="43">
        <v>0</v>
      </c>
      <c r="AF64" s="43">
        <v>0</v>
      </c>
      <c r="AG64" s="43">
        <v>0</v>
      </c>
      <c r="AH64" s="33">
        <v>0.234375</v>
      </c>
      <c r="AI64" s="33">
        <v>0.240885</v>
      </c>
      <c r="AJ64" s="33">
        <v>0.303725</v>
      </c>
      <c r="AK64" s="33">
        <v>0.195833</v>
      </c>
      <c r="AL64" s="33">
        <v>0.178771</v>
      </c>
    </row>
    <row r="65" spans="1:38">
      <c r="A65" t="s">
        <v>379</v>
      </c>
      <c r="B65" s="31" t="s">
        <v>84</v>
      </c>
      <c r="C65" s="31" t="s">
        <v>49</v>
      </c>
      <c r="D65" s="43">
        <v>0.229492</v>
      </c>
      <c r="E65" s="43">
        <v>0</v>
      </c>
      <c r="F65" s="43">
        <v>0</v>
      </c>
      <c r="G65" s="43">
        <v>0.917968</v>
      </c>
      <c r="H65" s="43">
        <v>0</v>
      </c>
      <c r="I65" s="43">
        <v>0.191406</v>
      </c>
      <c r="J65" s="43">
        <v>0.234375</v>
      </c>
      <c r="K65" s="43">
        <v>0.242187</v>
      </c>
      <c r="L65" s="43">
        <v>0.25</v>
      </c>
      <c r="M65" s="43">
        <v>0</v>
      </c>
      <c r="N65" s="33">
        <v>0</v>
      </c>
      <c r="O65" s="33">
        <v>0</v>
      </c>
      <c r="P65" s="33">
        <v>0.037736</v>
      </c>
      <c r="Q65" s="33">
        <v>0.003676</v>
      </c>
      <c r="R65" s="33">
        <v>0.0067</v>
      </c>
      <c r="S65" s="33">
        <v>0</v>
      </c>
      <c r="T65" s="33">
        <v>0</v>
      </c>
      <c r="U65" s="33">
        <v>0</v>
      </c>
      <c r="V65" s="43">
        <v>0.684411</v>
      </c>
      <c r="W65" s="43">
        <v>0</v>
      </c>
      <c r="X65" s="43">
        <v>0</v>
      </c>
      <c r="Y65" s="43">
        <v>0</v>
      </c>
      <c r="Z65" s="43">
        <v>0.314322</v>
      </c>
      <c r="AA65" s="43">
        <v>0</v>
      </c>
      <c r="AB65" s="43">
        <v>0.001267</v>
      </c>
      <c r="AC65" s="43">
        <v>0</v>
      </c>
      <c r="AD65" s="43">
        <v>0</v>
      </c>
      <c r="AE65" s="43">
        <v>0</v>
      </c>
      <c r="AF65" s="43">
        <v>0</v>
      </c>
      <c r="AG65" s="43">
        <v>0</v>
      </c>
      <c r="AH65" s="33">
        <v>0.191406</v>
      </c>
      <c r="AI65" s="33">
        <v>0.242187</v>
      </c>
      <c r="AJ65" s="33">
        <v>0.303725</v>
      </c>
      <c r="AK65" s="33">
        <v>0.2</v>
      </c>
      <c r="AL65" s="33">
        <v>0.178771</v>
      </c>
    </row>
    <row r="66" spans="1:38">
      <c r="A66" t="s">
        <v>380</v>
      </c>
      <c r="B66" s="31" t="s">
        <v>84</v>
      </c>
      <c r="C66" s="31" t="s">
        <v>49</v>
      </c>
      <c r="D66" s="43">
        <v>0.473632</v>
      </c>
      <c r="E66" s="43">
        <v>0.5625</v>
      </c>
      <c r="F66" s="43">
        <v>0.3125</v>
      </c>
      <c r="G66" s="43">
        <v>0.746093</v>
      </c>
      <c r="H66" s="43">
        <v>0.273437</v>
      </c>
      <c r="I66" s="43">
        <v>0.707031</v>
      </c>
      <c r="J66" s="43">
        <v>0.484375</v>
      </c>
      <c r="K66" s="43">
        <v>0.375</v>
      </c>
      <c r="L66" s="43">
        <v>0.328125</v>
      </c>
      <c r="M66" s="33">
        <v>0.452229</v>
      </c>
      <c r="N66" s="33">
        <v>0.1875</v>
      </c>
      <c r="O66" s="33">
        <v>0.071429</v>
      </c>
      <c r="P66" s="33">
        <v>0.320755</v>
      </c>
      <c r="Q66" s="33">
        <v>0.181985</v>
      </c>
      <c r="R66" s="33">
        <v>0.194305</v>
      </c>
      <c r="S66" s="33">
        <v>0.426752</v>
      </c>
      <c r="T66" s="33">
        <v>0.071429</v>
      </c>
      <c r="U66" s="33">
        <v>0.302905</v>
      </c>
      <c r="V66" s="43">
        <v>0.105751</v>
      </c>
      <c r="W66" s="43">
        <v>0</v>
      </c>
      <c r="X66" s="43">
        <v>0.241187</v>
      </c>
      <c r="Y66" s="43">
        <v>0.120594</v>
      </c>
      <c r="Z66" s="43">
        <v>0.131725</v>
      </c>
      <c r="AA66" s="43">
        <v>0.142857</v>
      </c>
      <c r="AB66" s="43">
        <v>0.06679</v>
      </c>
      <c r="AC66" s="43">
        <v>0</v>
      </c>
      <c r="AD66" s="43">
        <v>0.003711</v>
      </c>
      <c r="AE66" s="43">
        <v>0.027829</v>
      </c>
      <c r="AF66" s="43">
        <v>0.06308</v>
      </c>
      <c r="AG66" s="43">
        <v>0.096475</v>
      </c>
      <c r="AH66" s="33">
        <v>0.707031</v>
      </c>
      <c r="AI66" s="33">
        <v>0.395833</v>
      </c>
      <c r="AJ66" s="33">
        <v>0.401146</v>
      </c>
      <c r="AK66" s="33">
        <v>0.470833</v>
      </c>
      <c r="AL66" s="33">
        <v>0.284916</v>
      </c>
    </row>
    <row r="67" spans="1:38">
      <c r="A67" t="s">
        <v>381</v>
      </c>
      <c r="B67" s="31" t="s">
        <v>84</v>
      </c>
      <c r="C67" s="31" t="s">
        <v>49</v>
      </c>
      <c r="D67" s="43">
        <v>0.450195</v>
      </c>
      <c r="E67" s="43">
        <v>0.589843</v>
      </c>
      <c r="F67" s="43">
        <v>0.320312</v>
      </c>
      <c r="G67" s="43">
        <v>0.605468</v>
      </c>
      <c r="H67" s="43">
        <v>0.285156</v>
      </c>
      <c r="I67" s="43">
        <v>0.703125</v>
      </c>
      <c r="J67" s="43">
        <v>0.488281</v>
      </c>
      <c r="K67" s="43">
        <v>0.320312</v>
      </c>
      <c r="L67" s="43">
        <v>0.289062</v>
      </c>
      <c r="M67" s="43">
        <v>0.471338</v>
      </c>
      <c r="N67" s="33">
        <v>0.25</v>
      </c>
      <c r="O67" s="33">
        <v>0.047619</v>
      </c>
      <c r="P67" s="33">
        <v>0.377358</v>
      </c>
      <c r="Q67" s="33">
        <v>0.158088</v>
      </c>
      <c r="R67" s="33">
        <v>0.177554</v>
      </c>
      <c r="S67" s="33">
        <v>0.464968</v>
      </c>
      <c r="T67" s="33">
        <v>0.02381</v>
      </c>
      <c r="U67" s="33">
        <v>0.311203</v>
      </c>
      <c r="V67" s="43">
        <v>0.047957</v>
      </c>
      <c r="W67" s="43">
        <v>0</v>
      </c>
      <c r="X67" s="43">
        <v>0.269982</v>
      </c>
      <c r="Y67" s="43">
        <v>0.179396</v>
      </c>
      <c r="Z67" s="43">
        <v>0.111901</v>
      </c>
      <c r="AA67" s="43">
        <v>0.131439</v>
      </c>
      <c r="AB67" s="43">
        <v>0.083481</v>
      </c>
      <c r="AC67" s="43">
        <v>0</v>
      </c>
      <c r="AD67" s="43">
        <v>0.001776</v>
      </c>
      <c r="AE67" s="43">
        <v>0.021314</v>
      </c>
      <c r="AF67" s="43">
        <v>0.063943</v>
      </c>
      <c r="AG67" s="43">
        <v>0.08881</v>
      </c>
      <c r="AH67" s="33">
        <v>0.703125</v>
      </c>
      <c r="AI67" s="33">
        <v>0.365885</v>
      </c>
      <c r="AJ67" s="33">
        <v>0.366762</v>
      </c>
      <c r="AK67" s="33">
        <v>0.433333</v>
      </c>
      <c r="AL67" s="33">
        <v>0.273743</v>
      </c>
    </row>
    <row r="68" spans="1:38">
      <c r="A68" t="s">
        <v>382</v>
      </c>
      <c r="B68" s="31" t="s">
        <v>84</v>
      </c>
      <c r="C68" s="31" t="s">
        <v>49</v>
      </c>
      <c r="D68" s="43">
        <v>0.444335</v>
      </c>
      <c r="E68" s="43">
        <v>0.488281</v>
      </c>
      <c r="F68" s="43">
        <v>0.269531</v>
      </c>
      <c r="G68" s="43">
        <v>0.714843</v>
      </c>
      <c r="H68" s="43">
        <v>0.304687</v>
      </c>
      <c r="I68" s="43">
        <v>0.648437</v>
      </c>
      <c r="J68" s="43">
        <v>0.457031</v>
      </c>
      <c r="K68" s="43">
        <v>0.359375</v>
      </c>
      <c r="L68" s="43">
        <v>0.3125</v>
      </c>
      <c r="M68" s="43">
        <v>0.407643</v>
      </c>
      <c r="N68" s="33">
        <v>0.0625</v>
      </c>
      <c r="O68" s="33">
        <v>0.047619</v>
      </c>
      <c r="P68" s="33">
        <v>0.339623</v>
      </c>
      <c r="Q68" s="33">
        <v>0.161765</v>
      </c>
      <c r="R68" s="33">
        <v>0.177554</v>
      </c>
      <c r="S68" s="33">
        <v>0.375796</v>
      </c>
      <c r="T68" s="33">
        <v>0.02381</v>
      </c>
      <c r="U68" s="33">
        <v>0.253112</v>
      </c>
      <c r="V68" s="43">
        <v>0.12478</v>
      </c>
      <c r="W68" s="43">
        <v>0</v>
      </c>
      <c r="X68" s="43">
        <v>0.221441</v>
      </c>
      <c r="Y68" s="43">
        <v>0.128295</v>
      </c>
      <c r="Z68" s="43">
        <v>0.151142</v>
      </c>
      <c r="AA68" s="43">
        <v>0.13884</v>
      </c>
      <c r="AB68" s="43">
        <v>0.079086</v>
      </c>
      <c r="AC68" s="43">
        <v>0</v>
      </c>
      <c r="AD68" s="43">
        <v>0.005272</v>
      </c>
      <c r="AE68" s="43">
        <v>0.017575</v>
      </c>
      <c r="AF68" s="43">
        <v>0.061511</v>
      </c>
      <c r="AG68" s="43">
        <v>0.072056</v>
      </c>
      <c r="AH68" s="33">
        <v>0.648437</v>
      </c>
      <c r="AI68" s="33">
        <v>0.376302</v>
      </c>
      <c r="AJ68" s="33">
        <v>0.389685</v>
      </c>
      <c r="AK68" s="33">
        <v>0.4125</v>
      </c>
      <c r="AL68" s="33">
        <v>0.301676</v>
      </c>
    </row>
    <row r="69" spans="1:38">
      <c r="A69" t="s">
        <v>383</v>
      </c>
      <c r="B69" s="31" t="s">
        <v>84</v>
      </c>
      <c r="C69" s="31" t="s">
        <v>49</v>
      </c>
      <c r="D69" s="43">
        <v>0.413085</v>
      </c>
      <c r="E69" s="43">
        <v>0.484375</v>
      </c>
      <c r="F69" s="43">
        <v>0.210937</v>
      </c>
      <c r="G69" s="43">
        <v>0.703125</v>
      </c>
      <c r="H69" s="43">
        <v>0.253906</v>
      </c>
      <c r="I69" s="43">
        <v>0.628906</v>
      </c>
      <c r="J69" s="43">
        <v>0.429687</v>
      </c>
      <c r="K69" s="43">
        <v>0.308593</v>
      </c>
      <c r="L69" s="43">
        <v>0.285156</v>
      </c>
      <c r="M69" s="43">
        <v>0.318471</v>
      </c>
      <c r="N69" s="33">
        <v>0.0625</v>
      </c>
      <c r="O69" s="33">
        <v>0.035714</v>
      </c>
      <c r="P69" s="33">
        <v>0.301887</v>
      </c>
      <c r="Q69" s="33">
        <v>0.152574</v>
      </c>
      <c r="R69" s="33">
        <v>0.165829</v>
      </c>
      <c r="S69" s="33">
        <v>0.292994</v>
      </c>
      <c r="T69" s="33">
        <v>0.035714</v>
      </c>
      <c r="U69" s="33">
        <v>0.203319</v>
      </c>
      <c r="V69" s="43">
        <v>0.14975</v>
      </c>
      <c r="W69" s="43">
        <v>0.001664</v>
      </c>
      <c r="X69" s="43">
        <v>0.216306</v>
      </c>
      <c r="Y69" s="43">
        <v>0.126456</v>
      </c>
      <c r="Z69" s="43">
        <v>0.144759</v>
      </c>
      <c r="AA69" s="43">
        <v>0.178037</v>
      </c>
      <c r="AB69" s="43">
        <v>0.03827</v>
      </c>
      <c r="AC69" s="43">
        <v>0</v>
      </c>
      <c r="AD69" s="43">
        <v>0.006656</v>
      </c>
      <c r="AE69" s="43">
        <v>0.019967</v>
      </c>
      <c r="AF69" s="43">
        <v>0.044925</v>
      </c>
      <c r="AG69" s="43">
        <v>0.073211</v>
      </c>
      <c r="AH69" s="33">
        <v>0.628906</v>
      </c>
      <c r="AI69" s="33">
        <v>0.341146</v>
      </c>
      <c r="AJ69" s="33">
        <v>0.358166</v>
      </c>
      <c r="AK69" s="33">
        <v>0.391667</v>
      </c>
      <c r="AL69" s="33">
        <v>0.240223</v>
      </c>
    </row>
    <row r="70" spans="1:38">
      <c r="A70" t="s">
        <v>384</v>
      </c>
      <c r="B70" s="31" t="s">
        <v>84</v>
      </c>
      <c r="C70" s="31" t="s">
        <v>49</v>
      </c>
      <c r="D70" s="43">
        <v>0.368164</v>
      </c>
      <c r="E70" s="43">
        <v>0.433593</v>
      </c>
      <c r="F70" s="43">
        <v>0.179687</v>
      </c>
      <c r="G70" s="43">
        <v>0.6875</v>
      </c>
      <c r="H70" s="43">
        <v>0.171875</v>
      </c>
      <c r="I70" s="43">
        <v>0.574218</v>
      </c>
      <c r="J70" s="43">
        <v>0.378906</v>
      </c>
      <c r="K70" s="43">
        <v>0.261718</v>
      </c>
      <c r="L70" s="43">
        <v>0.257812</v>
      </c>
      <c r="M70" s="33">
        <v>0.286624</v>
      </c>
      <c r="N70" s="33">
        <v>0</v>
      </c>
      <c r="O70" s="33">
        <v>0.011905</v>
      </c>
      <c r="P70" s="33">
        <v>0.037736</v>
      </c>
      <c r="Q70" s="33">
        <v>0.088235</v>
      </c>
      <c r="R70" s="33">
        <v>0.083752</v>
      </c>
      <c r="S70" s="33">
        <v>0.280255</v>
      </c>
      <c r="T70" s="33">
        <v>0</v>
      </c>
      <c r="U70" s="33">
        <v>0.182573</v>
      </c>
      <c r="V70" s="43">
        <v>0.159196</v>
      </c>
      <c r="W70" s="43">
        <v>0.004637</v>
      </c>
      <c r="X70" s="43">
        <v>0.197836</v>
      </c>
      <c r="Y70" s="43">
        <v>0.123648</v>
      </c>
      <c r="Z70" s="43">
        <v>0.171561</v>
      </c>
      <c r="AA70" s="43">
        <v>0.151468</v>
      </c>
      <c r="AB70" s="43">
        <v>0.047913</v>
      </c>
      <c r="AC70" s="43">
        <v>0.001546</v>
      </c>
      <c r="AD70" s="43">
        <v>0.001546</v>
      </c>
      <c r="AE70" s="33">
        <v>0.017002</v>
      </c>
      <c r="AF70" s="43">
        <v>0.060278</v>
      </c>
      <c r="AG70" s="43">
        <v>0.063369</v>
      </c>
      <c r="AH70" s="33">
        <v>0.574219</v>
      </c>
      <c r="AI70" s="33">
        <v>0.299479</v>
      </c>
      <c r="AJ70" s="33">
        <v>0.329513</v>
      </c>
      <c r="AK70" s="33">
        <v>0.308333</v>
      </c>
      <c r="AL70" s="33">
        <v>0.22905</v>
      </c>
    </row>
    <row r="71" spans="1:38">
      <c r="A71" t="s">
        <v>385</v>
      </c>
      <c r="B71" s="31" t="s">
        <v>84</v>
      </c>
      <c r="C71" s="31" t="s">
        <v>49</v>
      </c>
      <c r="D71" s="43">
        <v>0.36914</v>
      </c>
      <c r="E71" s="43">
        <v>0.242187</v>
      </c>
      <c r="F71" s="43">
        <v>0.117187</v>
      </c>
      <c r="G71" s="43">
        <v>0.941406</v>
      </c>
      <c r="H71" s="43">
        <v>0.175781</v>
      </c>
      <c r="I71" s="43">
        <v>0.609375</v>
      </c>
      <c r="J71" s="43">
        <v>0.320312</v>
      </c>
      <c r="K71" s="43">
        <v>0.277343</v>
      </c>
      <c r="L71" s="43">
        <v>0.269531</v>
      </c>
      <c r="M71" s="43">
        <v>0.191083</v>
      </c>
      <c r="N71" s="33">
        <v>0</v>
      </c>
      <c r="O71" s="33">
        <v>0</v>
      </c>
      <c r="P71" s="33">
        <v>0.056604</v>
      </c>
      <c r="Q71" s="33">
        <v>0.020221</v>
      </c>
      <c r="R71" s="33">
        <v>0.023451</v>
      </c>
      <c r="S71" s="33">
        <v>0.184713</v>
      </c>
      <c r="T71" s="33">
        <v>0</v>
      </c>
      <c r="U71" s="33">
        <v>0.120332</v>
      </c>
      <c r="V71" s="43">
        <v>0.455108</v>
      </c>
      <c r="W71" s="43">
        <v>0.009288</v>
      </c>
      <c r="X71" s="43">
        <v>0.077399</v>
      </c>
      <c r="Y71" s="43">
        <v>0.02322</v>
      </c>
      <c r="Z71" s="43">
        <v>0.221362</v>
      </c>
      <c r="AA71" s="43">
        <v>0.116099</v>
      </c>
      <c r="AB71" s="43">
        <v>0.02322</v>
      </c>
      <c r="AC71" s="43">
        <v>0.006192</v>
      </c>
      <c r="AD71" s="43">
        <v>0.003096</v>
      </c>
      <c r="AE71" s="43">
        <v>0.003096</v>
      </c>
      <c r="AF71" s="43">
        <v>0.02322</v>
      </c>
      <c r="AG71" s="43">
        <v>0.0387</v>
      </c>
      <c r="AH71" s="33">
        <v>0.609375</v>
      </c>
      <c r="AI71" s="33">
        <v>0.289062</v>
      </c>
      <c r="AJ71" s="33">
        <v>0.361032</v>
      </c>
      <c r="AK71" s="33">
        <v>0.245833</v>
      </c>
      <c r="AL71" s="33">
        <v>0.206704</v>
      </c>
    </row>
    <row r="72" spans="1:38">
      <c r="A72" t="s">
        <v>386</v>
      </c>
      <c r="B72" s="31" t="s">
        <v>84</v>
      </c>
      <c r="C72" s="31" t="s">
        <v>49</v>
      </c>
      <c r="D72" s="43">
        <v>0.295898</v>
      </c>
      <c r="E72" s="43">
        <v>0.144531</v>
      </c>
      <c r="F72" s="43">
        <v>0.03125</v>
      </c>
      <c r="G72" s="43">
        <v>0.933593</v>
      </c>
      <c r="H72" s="43">
        <v>0.074218</v>
      </c>
      <c r="I72" s="43">
        <v>0.410156</v>
      </c>
      <c r="J72" s="43">
        <v>0.269531</v>
      </c>
      <c r="K72" s="43">
        <v>0.253906</v>
      </c>
      <c r="L72" s="43">
        <v>0.25</v>
      </c>
      <c r="M72" s="33">
        <v>0.050955</v>
      </c>
      <c r="N72" s="33">
        <v>0</v>
      </c>
      <c r="O72" s="33">
        <v>0</v>
      </c>
      <c r="P72" s="33">
        <v>0.018868</v>
      </c>
      <c r="Q72" s="33">
        <v>0.011029</v>
      </c>
      <c r="R72" s="33">
        <v>0.011725</v>
      </c>
      <c r="S72" s="33">
        <v>0.050955</v>
      </c>
      <c r="T72" s="33">
        <v>0</v>
      </c>
      <c r="U72" s="33">
        <v>0.033195</v>
      </c>
      <c r="V72" s="43">
        <v>0.514563</v>
      </c>
      <c r="W72" s="43">
        <v>0.012483</v>
      </c>
      <c r="X72" s="43">
        <v>0.033287</v>
      </c>
      <c r="Y72" s="43">
        <v>0.023578</v>
      </c>
      <c r="Z72" s="43">
        <v>0.291262</v>
      </c>
      <c r="AA72" s="43">
        <v>0.055479</v>
      </c>
      <c r="AB72" s="43">
        <v>0.012483</v>
      </c>
      <c r="AC72" s="43">
        <v>0.015257</v>
      </c>
      <c r="AD72" s="43">
        <v>0.004161</v>
      </c>
      <c r="AE72" s="43">
        <v>0.004161</v>
      </c>
      <c r="AF72" s="43">
        <v>0.015257</v>
      </c>
      <c r="AG72" s="43">
        <v>0.018031</v>
      </c>
      <c r="AH72" s="33">
        <v>0.410156</v>
      </c>
      <c r="AI72" s="33">
        <v>0.257812</v>
      </c>
      <c r="AJ72" s="33">
        <v>0.318052</v>
      </c>
      <c r="AK72" s="33">
        <v>0.225</v>
      </c>
      <c r="AL72" s="33">
        <v>0.184358</v>
      </c>
    </row>
    <row r="73" spans="1:38">
      <c r="A73" t="s">
        <v>387</v>
      </c>
      <c r="B73" s="31" t="s">
        <v>84</v>
      </c>
      <c r="C73" s="31" t="s">
        <v>49</v>
      </c>
      <c r="D73" s="43">
        <v>0.345703</v>
      </c>
      <c r="E73" s="43">
        <v>0.300781</v>
      </c>
      <c r="F73" s="43">
        <v>0.082031</v>
      </c>
      <c r="G73" s="43">
        <v>0.898437</v>
      </c>
      <c r="H73" s="43">
        <v>0.101562</v>
      </c>
      <c r="I73" s="43">
        <v>0.5</v>
      </c>
      <c r="J73" s="43">
        <v>0.34375</v>
      </c>
      <c r="K73" s="43">
        <v>0.296875</v>
      </c>
      <c r="L73" s="33">
        <v>0.242187</v>
      </c>
      <c r="M73" s="33">
        <v>0.121019</v>
      </c>
      <c r="N73" s="33">
        <v>0.125</v>
      </c>
      <c r="O73" s="33">
        <v>0</v>
      </c>
      <c r="P73" s="33">
        <v>0.245283</v>
      </c>
      <c r="Q73" s="33">
        <v>0.110294</v>
      </c>
      <c r="R73" s="33">
        <v>0.122278</v>
      </c>
      <c r="S73" s="33">
        <v>0</v>
      </c>
      <c r="T73" s="33">
        <v>0</v>
      </c>
      <c r="U73" s="33">
        <v>0</v>
      </c>
      <c r="V73" s="43">
        <v>0.359701</v>
      </c>
      <c r="W73" s="43">
        <v>0</v>
      </c>
      <c r="X73" s="43">
        <v>0.126866</v>
      </c>
      <c r="Y73" s="43">
        <v>0.029851</v>
      </c>
      <c r="Z73" s="43">
        <v>0.220896</v>
      </c>
      <c r="AA73" s="43">
        <v>0.173134</v>
      </c>
      <c r="AB73" s="43">
        <v>0.019403</v>
      </c>
      <c r="AC73" s="43">
        <v>0</v>
      </c>
      <c r="AD73" s="43">
        <v>0.001493</v>
      </c>
      <c r="AE73" s="43">
        <v>0.01194</v>
      </c>
      <c r="AF73" s="43">
        <v>0.029851</v>
      </c>
      <c r="AG73" s="43">
        <v>0.026866</v>
      </c>
      <c r="AH73" s="33">
        <v>0.5</v>
      </c>
      <c r="AI73" s="33">
        <v>0.294271</v>
      </c>
      <c r="AJ73" s="33">
        <v>0.358166</v>
      </c>
      <c r="AK73" s="33">
        <v>0.2625</v>
      </c>
      <c r="AL73" s="33">
        <v>0.21229</v>
      </c>
    </row>
    <row r="74" spans="1:38">
      <c r="A74" s="149" t="s">
        <v>388</v>
      </c>
      <c r="B74" s="31" t="s">
        <v>84</v>
      </c>
      <c r="C74" s="31" t="s">
        <v>49</v>
      </c>
      <c r="D74" s="43">
        <v>0.343253</v>
      </c>
      <c r="E74" s="43">
        <v>0.275</v>
      </c>
      <c r="F74" s="43">
        <v>0.335937</v>
      </c>
      <c r="G74" s="43">
        <v>0.682692</v>
      </c>
      <c r="H74" s="43">
        <v>0.133928</v>
      </c>
      <c r="I74" s="43">
        <v>0.511627</v>
      </c>
      <c r="J74" s="43">
        <v>0.343511</v>
      </c>
      <c r="K74" s="43">
        <v>0.248062</v>
      </c>
      <c r="L74" s="43">
        <v>0.260869</v>
      </c>
      <c r="M74" s="33">
        <v>0.44186</v>
      </c>
      <c r="N74" s="33">
        <v>0.333333</v>
      </c>
      <c r="O74" s="33">
        <v>0.060606</v>
      </c>
      <c r="P74" s="33">
        <v>0.433333</v>
      </c>
      <c r="Q74" s="33">
        <v>0.385714</v>
      </c>
      <c r="R74" s="33">
        <v>0.391667</v>
      </c>
      <c r="S74" s="33">
        <v>0.44186</v>
      </c>
      <c r="T74" s="33">
        <v>0.060606</v>
      </c>
      <c r="U74" s="33">
        <v>0.336134</v>
      </c>
      <c r="V74" s="43">
        <v>0.066465</v>
      </c>
      <c r="W74" s="43">
        <v>0</v>
      </c>
      <c r="X74" s="43">
        <v>0.096677</v>
      </c>
      <c r="Y74" s="43">
        <v>0.096677</v>
      </c>
      <c r="Z74" s="43">
        <v>0.60423</v>
      </c>
      <c r="AA74" s="43">
        <v>0.063444</v>
      </c>
      <c r="AB74" s="43">
        <v>0.030212</v>
      </c>
      <c r="AC74" s="43">
        <v>0</v>
      </c>
      <c r="AD74" s="43">
        <v>0</v>
      </c>
      <c r="AE74" s="43">
        <v>0.003021</v>
      </c>
      <c r="AF74" s="43">
        <v>0.021148</v>
      </c>
      <c r="AG74" s="43">
        <v>0.018127</v>
      </c>
      <c r="AH74" s="33">
        <v>0.511628</v>
      </c>
      <c r="AI74" s="33">
        <v>0.285333</v>
      </c>
      <c r="AJ74" s="33">
        <v>0.300578</v>
      </c>
      <c r="AK74" s="33">
        <v>0.322835</v>
      </c>
      <c r="AL74" s="33">
        <v>0.186667</v>
      </c>
    </row>
    <row r="75" spans="1:38">
      <c r="A75" t="s">
        <v>389</v>
      </c>
      <c r="B75" s="31" t="s">
        <v>84</v>
      </c>
      <c r="C75" s="31" t="s">
        <v>49</v>
      </c>
      <c r="D75" s="43">
        <v>0.19855</v>
      </c>
      <c r="E75" s="43">
        <v>0.22093</v>
      </c>
      <c r="F75" s="43">
        <v>0.045161</v>
      </c>
      <c r="G75" s="43">
        <v>0.415789</v>
      </c>
      <c r="H75" s="43">
        <v>0.075144</v>
      </c>
      <c r="I75" s="43">
        <v>0.295857</v>
      </c>
      <c r="J75" s="43">
        <v>0.180327</v>
      </c>
      <c r="K75" s="43">
        <v>0.130952</v>
      </c>
      <c r="L75" s="43">
        <v>0.188235</v>
      </c>
      <c r="M75" s="33">
        <v>0.048077</v>
      </c>
      <c r="N75" s="33">
        <v>0</v>
      </c>
      <c r="O75" s="33">
        <v>0.045455</v>
      </c>
      <c r="P75" s="33">
        <v>0.208333</v>
      </c>
      <c r="Q75" s="33">
        <v>0.24375</v>
      </c>
      <c r="R75" s="33">
        <v>0.241279</v>
      </c>
      <c r="S75" s="33">
        <v>0.038462</v>
      </c>
      <c r="T75" s="33">
        <v>0.045455</v>
      </c>
      <c r="U75" s="33">
        <v>0.040541</v>
      </c>
      <c r="V75" s="43">
        <v>0.01085</v>
      </c>
      <c r="W75" s="43">
        <v>0</v>
      </c>
      <c r="X75" s="43">
        <v>0.264014</v>
      </c>
      <c r="Y75" s="43">
        <v>0.200723</v>
      </c>
      <c r="Z75" s="43">
        <v>0.372514</v>
      </c>
      <c r="AA75" s="43">
        <v>0.077758</v>
      </c>
      <c r="AB75" s="43">
        <v>0.039783</v>
      </c>
      <c r="AC75" s="43">
        <v>0</v>
      </c>
      <c r="AD75" s="43">
        <v>0</v>
      </c>
      <c r="AE75" s="43">
        <v>0.009042</v>
      </c>
      <c r="AF75" s="43">
        <v>0.009042</v>
      </c>
      <c r="AG75" s="43">
        <v>0.016275</v>
      </c>
      <c r="AH75" s="33">
        <v>0.295858</v>
      </c>
      <c r="AI75" s="33">
        <v>0.166987</v>
      </c>
      <c r="AJ75" s="33">
        <v>0.172839</v>
      </c>
      <c r="AK75" s="33">
        <v>0.180723</v>
      </c>
      <c r="AL75" s="33">
        <v>0.133929</v>
      </c>
    </row>
    <row r="76" spans="1:48" s="50">
      <c r="A76" s="50" t="s">
        <v>390</v>
      </c>
      <c r="B76" s="155" t="s"/>
      <c r="C76" s="155" t="s"/>
      <c r="D76" s="50" t="s"/>
      <c r="E76" s="50" t="s"/>
      <c r="F76" s="50" t="s"/>
      <c r="G76" s="50" t="s"/>
      <c r="H76" s="50" t="s"/>
      <c r="I76" s="50" t="s"/>
      <c r="J76" s="50" t="s"/>
      <c r="K76" s="50" t="s"/>
      <c r="L76" s="50" t="s"/>
      <c r="M76" s="50" t="s"/>
      <c r="N76" s="50" t="s"/>
      <c r="O76" s="50" t="s"/>
      <c r="P76" s="50" t="s"/>
      <c r="Q76" s="50" t="s"/>
      <c r="R76" s="50" t="s"/>
      <c r="S76" s="50" t="s"/>
      <c r="T76" s="50" t="s"/>
      <c r="U76" s="50" t="s"/>
      <c r="V76" s="50" t="s"/>
      <c r="W76" s="50" t="s"/>
      <c r="X76" s="50" t="s"/>
      <c r="Y76" s="50" t="s"/>
      <c r="Z76" s="50" t="s"/>
      <c r="AA76" s="50" t="s"/>
      <c r="AB76" s="50" t="s"/>
      <c r="AC76" s="50" t="s"/>
      <c r="AD76" s="50" t="s"/>
      <c r="AE76" s="50" t="s"/>
      <c r="AF76" s="50" t="s"/>
      <c r="AG76" s="50" t="s"/>
      <c r="AH76" s="50" t="s"/>
      <c r="AI76" s="50" t="s"/>
      <c r="AJ76" s="50" t="s"/>
      <c r="AK76" s="50" t="s"/>
      <c r="AL76" s="50" t="s"/>
      <c r="AM76" s="147" t="s"/>
      <c r="AN76" s="147" t="s"/>
      <c r="AO76" s="147" t="s"/>
      <c r="AP76" s="147" t="s"/>
      <c r="AQ76" s="147" t="s"/>
      <c r="AR76" s="147" t="s"/>
      <c r="AS76" s="147" t="s"/>
      <c r="AT76" s="147" t="s"/>
      <c r="AU76" s="147" t="s"/>
      <c r="AV76" s="147" t="s"/>
    </row>
    <row r="77" spans="1:38">
      <c r="A77" t="s">
        <v>391</v>
      </c>
      <c r="B77" s="31" t="s">
        <v>67</v>
      </c>
      <c r="C77" s="31" t="s">
        <v>44</v>
      </c>
      <c r="D77" s="158">
        <v>0.295698</v>
      </c>
      <c r="E77" s="158">
        <v>0.18421</v>
      </c>
      <c r="F77" s="158">
        <v>0.2</v>
      </c>
      <c r="G77" s="158">
        <v>1</v>
      </c>
      <c r="H77" s="158">
        <v>0.028571</v>
      </c>
      <c r="I77" s="158">
        <v>0.295698</v>
      </c>
      <c r="M77" s="158">
        <v>0.307692</v>
      </c>
      <c r="N77" s="158">
        <v>0</v>
      </c>
      <c r="O77" s="158">
        <v>0</v>
      </c>
      <c r="P77" s="33">
        <v>0.409091</v>
      </c>
      <c r="Q77" s="33">
        <v>0.05</v>
      </c>
      <c r="R77" s="33">
        <v>0.177419</v>
      </c>
      <c r="S77" s="33">
        <v>0.307692</v>
      </c>
      <c r="T77" s="33">
        <v>0</v>
      </c>
      <c r="U77" s="33">
        <v>0.25</v>
      </c>
      <c r="V77" s="33">
        <v>0.358779</v>
      </c>
      <c r="W77" s="33">
        <v>0</v>
      </c>
      <c r="X77" s="33">
        <v>0.206107</v>
      </c>
      <c r="Y77" s="33">
        <v>0</v>
      </c>
      <c r="Z77" s="33">
        <v>0.312977</v>
      </c>
      <c r="AA77" s="33">
        <v>0.022901</v>
      </c>
      <c r="AB77" s="33">
        <v>0</v>
      </c>
      <c r="AC77" s="33">
        <v>0</v>
      </c>
      <c r="AD77" s="33">
        <v>0</v>
      </c>
      <c r="AE77" s="33">
        <v>0.015267</v>
      </c>
      <c r="AF77" s="33">
        <v>0.022901</v>
      </c>
      <c r="AG77" s="33">
        <v>0.061069</v>
      </c>
      <c r="AH77" s="33">
        <v>0.295699</v>
      </c>
      <c r="AI77" s="33">
        <v>0</v>
      </c>
      <c r="AJ77" s="33">
        <v>0</v>
      </c>
      <c r="AK77" s="158">
        <v>0</v>
      </c>
      <c r="AL77" s="158">
        <v>0</v>
      </c>
    </row>
    <row r="78" spans="1:38">
      <c r="A78" t="s">
        <v>392</v>
      </c>
      <c r="B78" s="31" t="s">
        <v>67</v>
      </c>
      <c r="C78" s="31" t="s">
        <v>44</v>
      </c>
      <c r="D78" s="158">
        <v>0.286516</v>
      </c>
      <c r="E78" s="158">
        <v>0.18421</v>
      </c>
      <c r="F78" s="158">
        <v>0.2</v>
      </c>
      <c r="G78" s="158">
        <v>0.921052</v>
      </c>
      <c r="H78" s="158">
        <v>0.016129</v>
      </c>
      <c r="I78" s="158">
        <v>0.286516</v>
      </c>
      <c r="J78" s="33" t="s"/>
      <c r="K78" s="33" t="s"/>
      <c r="L78" s="33" t="s"/>
      <c r="M78" s="158">
        <v>0.307692</v>
      </c>
      <c r="N78" s="158">
        <v>0</v>
      </c>
      <c r="O78" s="158">
        <v>0</v>
      </c>
      <c r="P78" s="33">
        <v>0.272727</v>
      </c>
      <c r="Q78" s="33">
        <v>0.05</v>
      </c>
      <c r="R78" s="33">
        <v>0.129032</v>
      </c>
      <c r="S78" s="33">
        <v>0.307692</v>
      </c>
      <c r="T78" s="33">
        <v>0</v>
      </c>
      <c r="U78" s="33">
        <v>0.25</v>
      </c>
      <c r="V78" s="33">
        <v>0.362205</v>
      </c>
      <c r="W78" s="33">
        <v>0</v>
      </c>
      <c r="X78" s="33">
        <v>0.19685</v>
      </c>
      <c r="Y78" s="33">
        <v>0.023622</v>
      </c>
      <c r="Z78" s="33">
        <v>0.330709</v>
      </c>
      <c r="AA78" s="33">
        <v>0.015748</v>
      </c>
      <c r="AB78" s="33">
        <v>0</v>
      </c>
      <c r="AC78" s="33">
        <v>0</v>
      </c>
      <c r="AD78" s="33">
        <v>0</v>
      </c>
      <c r="AE78" s="33">
        <v>0</v>
      </c>
      <c r="AF78" s="33">
        <v>0.023622</v>
      </c>
      <c r="AG78" s="33">
        <v>0.047244</v>
      </c>
      <c r="AH78" s="33">
        <v>0.286517</v>
      </c>
      <c r="AI78" s="33">
        <v>0</v>
      </c>
      <c r="AJ78" s="33">
        <v>0</v>
      </c>
      <c r="AK78" s="158">
        <v>0</v>
      </c>
      <c r="AL78" s="33">
        <v>0</v>
      </c>
    </row>
    <row r="79" spans="1:48"/>
    <row r="80" spans="2:3">
      <c r="B80" s="31" t="s"/>
      <c r="C80" s="31" t="s"/>
    </row>
    <row r="81" spans="2:3">
      <c r="B81" s="31" t="s"/>
      <c r="C81" s="31" t="s"/>
    </row>
    <row r="82" spans="2:3">
      <c r="B82" s="31" t="s"/>
      <c r="C82" s="31" t="s"/>
    </row>
    <row r="83" spans="2:3">
      <c r="B83" s="31" t="s"/>
      <c r="C83" s="31" t="s"/>
    </row>
    <row r="84" spans="2:3">
      <c r="B84" s="31" t="s"/>
      <c r="C84" s="31" t="s"/>
    </row>
    <row r="85" spans="2:3">
      <c r="B85" s="31" t="s"/>
      <c r="C85" s="31" t="s"/>
    </row>
    <row r="86" spans="2:3">
      <c r="B86" s="31" t="s"/>
      <c r="C86" s="31" t="s"/>
    </row>
    <row r="87" spans="2:3">
      <c r="B87" s="31" t="s"/>
      <c r="C87" s="31" t="s"/>
    </row>
    <row r="88" spans="2:3">
      <c r="B88" s="31" t="s"/>
      <c r="C88" s="31" t="s"/>
    </row>
    <row r="89" spans="2:3">
      <c r="B89" s="31" t="s"/>
      <c r="C89" s="31" t="s"/>
    </row>
    <row r="90" spans="2:3">
      <c r="B90" s="31" t="s"/>
      <c r="C90" s="31" t="s"/>
    </row>
    <row r="91" spans="2:3">
      <c r="B91" s="31" t="s"/>
      <c r="C91" s="31" t="s"/>
    </row>
    <row r="92" spans="2:3">
      <c r="B92" s="31" t="s"/>
      <c r="C92" s="31" t="s"/>
    </row>
    <row r="93" spans="2:3">
      <c r="B93" s="31" t="s"/>
      <c r="C93" s="31" t="s"/>
    </row>
    <row r="94" spans="2:3">
      <c r="B94" s="31" t="s"/>
      <c r="C94" s="31" t="s"/>
    </row>
    <row r="95" spans="2:3">
      <c r="B95" s="31" t="s"/>
      <c r="C95" s="31" t="s"/>
    </row>
    <row r="96" spans="2:3">
      <c r="B96" s="31" t="s"/>
      <c r="C96" s="31" t="s"/>
    </row>
    <row r="97" spans="2:3">
      <c r="B97" s="31" t="s"/>
      <c r="C97" s="31" t="s"/>
    </row>
    <row r="98" spans="2:3">
      <c r="B98" s="31" t="s"/>
      <c r="C98" s="31" t="s"/>
    </row>
    <row r="99" spans="2:3">
      <c r="B99" s="31" t="s"/>
      <c r="C99" s="31" t="s"/>
    </row>
    <row r="100" spans="2:3">
      <c r="B100" s="31" t="s"/>
      <c r="C100" s="31" t="s"/>
    </row>
    <row r="101" spans="2:3">
      <c r="B101" s="31" t="s"/>
      <c r="C101" s="31" t="s"/>
    </row>
    <row r="102" spans="2:3">
      <c r="B102" s="31" t="s"/>
      <c r="C102" s="31" t="s"/>
    </row>
    <row r="103" spans="2:3">
      <c r="B103" s="31" t="s"/>
      <c r="C103" s="31" t="s"/>
    </row>
    <row r="104" spans="2:3">
      <c r="B104" s="31" t="s"/>
      <c r="C104" s="31" t="s"/>
    </row>
    <row r="105" spans="2:3">
      <c r="B105" s="31" t="s"/>
      <c r="C105" s="31" t="s"/>
    </row>
    <row r="106" spans="2:3">
      <c r="B106" s="31" t="s"/>
      <c r="C106" s="31" t="s"/>
    </row>
    <row r="107" spans="2:3">
      <c r="B107" s="31" t="s"/>
      <c r="C107" s="31" t="s"/>
    </row>
    <row r="108" spans="2:3">
      <c r="B108" s="31" t="s"/>
      <c r="C108" s="31" t="s"/>
    </row>
    <row r="109" spans="2:3">
      <c r="B109" s="31" t="s"/>
      <c r="C109" s="31" t="s"/>
    </row>
    <row r="110" spans="2:3">
      <c r="B110" s="31" t="s"/>
      <c r="C110" s="31" t="s"/>
    </row>
    <row r="111" spans="2:3">
      <c r="B111" s="31" t="s"/>
      <c r="C111" s="31" t="s"/>
    </row>
    <row r="112" spans="2:3">
      <c r="B112" s="31" t="s"/>
      <c r="C112" s="31" t="s"/>
    </row>
    <row r="113" spans="2:3">
      <c r="B113" s="31" t="s"/>
      <c r="C113" s="31" t="s"/>
    </row>
    <row r="114" spans="2:3">
      <c r="B114" s="31" t="s"/>
      <c r="C114" s="31" t="s"/>
    </row>
    <row r="115" spans="2:3">
      <c r="B115" s="31" t="s"/>
      <c r="C115" s="31" t="s"/>
    </row>
    <row r="116" spans="2:3">
      <c r="B116" s="31" t="s"/>
      <c r="C116" s="31" t="s"/>
    </row>
    <row r="117" spans="2:3">
      <c r="B117" s="31" t="s"/>
      <c r="C117" s="31" t="s"/>
    </row>
    <row r="118" spans="2:3">
      <c r="B118" s="31" t="s"/>
      <c r="C118" s="31" t="s"/>
    </row>
    <row r="119" spans="2:3">
      <c r="B119" s="31" t="s"/>
      <c r="C119" s="31" t="s"/>
    </row>
    <row r="120" spans="2:3">
      <c r="B120" s="31" t="s"/>
      <c r="C120" s="31" t="s"/>
    </row>
    <row r="121" spans="2:3">
      <c r="B121" s="31" t="s"/>
      <c r="C121" s="31" t="s"/>
    </row>
    <row r="122" spans="2:3">
      <c r="B122" s="31" t="s"/>
      <c r="C122" s="31" t="s"/>
    </row>
    <row r="123" spans="2:3">
      <c r="B123" s="31" t="s"/>
      <c r="C123" s="31" t="s"/>
    </row>
    <row r="124" spans="2:3">
      <c r="B124" s="31" t="s"/>
      <c r="C124" s="31" t="s"/>
    </row>
    <row r="125" spans="2:3">
      <c r="B125" s="31" t="s"/>
      <c r="C125" s="31" t="s"/>
    </row>
    <row r="126" spans="2:3">
      <c r="B126" s="31" t="s"/>
      <c r="C126" s="31" t="s"/>
    </row>
    <row r="127" spans="2:3">
      <c r="B127" s="31" t="s"/>
      <c r="C127" s="31" t="s"/>
    </row>
    <row r="128" spans="2:3">
      <c r="B128" s="31" t="s"/>
      <c r="C128" s="31" t="s"/>
    </row>
    <row r="129" spans="2:3">
      <c r="B129" s="31" t="s"/>
      <c r="C129" s="31" t="s"/>
    </row>
    <row r="130" spans="2:3">
      <c r="B130" s="31" t="s"/>
      <c r="C130" s="31" t="s"/>
    </row>
    <row r="131" spans="2:3">
      <c r="B131" s="31" t="s"/>
      <c r="C131" s="31" t="s"/>
    </row>
    <row r="132" spans="2:3">
      <c r="B132" s="31" t="s"/>
      <c r="C132" s="31" t="s"/>
    </row>
    <row r="133" spans="2:3">
      <c r="B133" s="31" t="s"/>
      <c r="C133" s="31" t="s"/>
    </row>
    <row r="134" spans="2:3">
      <c r="B134" s="31" t="s"/>
      <c r="C134" s="31" t="s"/>
    </row>
    <row r="135" spans="2:3">
      <c r="B135" s="31" t="s"/>
      <c r="C135" s="31" t="s"/>
    </row>
    <row r="136" spans="2:3">
      <c r="B136" s="31" t="s"/>
      <c r="C136" s="31" t="s"/>
    </row>
    <row r="137" spans="2:3">
      <c r="B137" s="31" t="s"/>
      <c r="C137" s="31" t="s"/>
    </row>
    <row r="138" spans="2:3">
      <c r="B138" s="31" t="s"/>
      <c r="C138" s="31" t="s"/>
    </row>
    <row r="139" spans="2:3">
      <c r="B139" s="31" t="s"/>
      <c r="C139" s="31" t="s"/>
    </row>
    <row r="140" spans="2:3">
      <c r="B140" s="31" t="s"/>
      <c r="C140" s="31" t="s"/>
    </row>
    <row r="141" spans="2:3">
      <c r="B141" s="31" t="s"/>
      <c r="C141" s="31" t="s"/>
    </row>
    <row r="142" spans="2:3">
      <c r="B142" s="31" t="s"/>
      <c r="C142" s="31" t="s"/>
    </row>
    <row r="143" spans="2:3">
      <c r="B143" s="31" t="s"/>
      <c r="C143" s="31" t="s"/>
    </row>
    <row r="144" spans="2:3">
      <c r="B144" s="31" t="s"/>
      <c r="C144" s="31" t="s"/>
    </row>
    <row r="145" spans="2:3">
      <c r="B145" s="31" t="s"/>
      <c r="C145" s="31" t="s"/>
    </row>
    <row r="146" spans="2:3">
      <c r="B146" s="31" t="s"/>
      <c r="C146" s="31" t="s"/>
    </row>
    <row r="147" spans="2:3">
      <c r="B147" s="31" t="s"/>
      <c r="C147" s="31" t="s"/>
    </row>
    <row r="148" spans="2:3">
      <c r="B148" s="31" t="s"/>
      <c r="C148" s="31" t="s"/>
    </row>
    <row r="149" spans="2:3">
      <c r="B149" s="31" t="s"/>
      <c r="C149" s="31" t="s"/>
    </row>
    <row r="150" spans="2:3">
      <c r="B150" s="31" t="s"/>
      <c r="C150" s="31" t="s"/>
    </row>
    <row r="151" spans="2:3">
      <c r="B151" s="31" t="s"/>
      <c r="C151" s="31" t="s"/>
    </row>
    <row r="152" spans="2:3">
      <c r="B152" s="31" t="s"/>
      <c r="C152" s="31" t="s"/>
    </row>
    <row r="153" spans="2:3">
      <c r="B153" s="31" t="s"/>
      <c r="C153" s="31" t="s"/>
    </row>
    <row r="154" spans="2:3">
      <c r="B154" s="31" t="s"/>
      <c r="C154" s="31" t="s"/>
    </row>
    <row r="155" spans="2:3">
      <c r="B155" s="31" t="s"/>
      <c r="C155" s="31" t="s"/>
    </row>
    <row r="156" spans="2:3">
      <c r="B156" s="31" t="s"/>
      <c r="C156" s="31" t="s"/>
    </row>
    <row r="157" spans="2:3">
      <c r="B157" s="31" t="s"/>
      <c r="C157" s="31" t="s"/>
    </row>
    <row r="158" spans="2:3">
      <c r="B158" s="31" t="s"/>
      <c r="C158" s="31" t="s"/>
    </row>
    <row r="159" spans="2:3">
      <c r="B159" s="31" t="s"/>
      <c r="C159" s="31" t="s"/>
    </row>
    <row r="160" spans="2:3">
      <c r="B160" s="31" t="s"/>
      <c r="C160" s="31" t="s"/>
    </row>
    <row r="161" spans="2:3">
      <c r="B161" s="31" t="s"/>
      <c r="C161" s="31" t="s"/>
    </row>
    <row r="162" spans="2:3">
      <c r="B162" s="31" t="s"/>
      <c r="C162" s="31" t="s"/>
    </row>
    <row r="163" spans="2:3">
      <c r="B163" s="31" t="s"/>
      <c r="C163" s="31" t="s"/>
    </row>
    <row r="164" spans="2:3">
      <c r="B164" s="31" t="s"/>
      <c r="C164" s="31" t="s"/>
    </row>
    <row r="165" spans="2:3">
      <c r="B165" s="31" t="s"/>
      <c r="C165" s="31" t="s"/>
    </row>
    <row r="166" spans="2:3">
      <c r="B166" s="31" t="s"/>
      <c r="C166" s="31" t="s"/>
    </row>
    <row r="167" spans="2:3">
      <c r="B167" s="31" t="s"/>
      <c r="C167" s="31" t="s"/>
    </row>
    <row r="168" spans="2:3">
      <c r="B168" s="31" t="s"/>
      <c r="C168" s="31" t="s"/>
    </row>
    <row r="169" spans="2:3">
      <c r="B169" s="31" t="s"/>
      <c r="C169" s="31" t="s"/>
    </row>
    <row r="170" spans="2:3">
      <c r="B170" s="31" t="s"/>
      <c r="C170" s="31" t="s"/>
    </row>
    <row r="171" spans="2:3">
      <c r="B171" s="31" t="s"/>
      <c r="C171" s="31" t="s"/>
    </row>
    <row r="172" spans="2:3">
      <c r="B172" s="31" t="s"/>
      <c r="C172" s="31" t="s"/>
    </row>
    <row r="173" spans="2:3">
      <c r="B173" s="31" t="s"/>
      <c r="C173" s="31" t="s"/>
    </row>
    <row r="174" spans="2:3">
      <c r="B174" s="31" t="s"/>
      <c r="C174" s="31" t="s"/>
    </row>
    <row r="175" spans="2:3">
      <c r="B175" s="31" t="s"/>
      <c r="C175" s="31" t="s"/>
    </row>
    <row r="176" spans="2:3">
      <c r="B176" s="31" t="s"/>
      <c r="C176" s="31" t="s"/>
    </row>
    <row r="177" spans="2:3">
      <c r="B177" s="31" t="s"/>
      <c r="C177" s="31" t="s"/>
    </row>
    <row r="178" spans="2:3">
      <c r="B178" s="31" t="s"/>
      <c r="C178" s="31" t="s"/>
    </row>
    <row r="179" spans="2:3">
      <c r="B179" s="31" t="s"/>
      <c r="C179" s="31" t="s"/>
    </row>
    <row r="180" spans="2:3">
      <c r="B180" s="31" t="s"/>
      <c r="C180" s="31" t="s"/>
    </row>
    <row r="181" spans="2:3">
      <c r="B181" s="31" t="s"/>
      <c r="C181" s="31" t="s"/>
    </row>
    <row r="182" spans="2:3">
      <c r="B182" s="31" t="s"/>
      <c r="C182" s="31" t="s"/>
    </row>
    <row r="183" spans="2:3">
      <c r="B183" s="31" t="s"/>
      <c r="C183" s="31" t="s"/>
    </row>
    <row r="184" spans="2:3">
      <c r="B184" s="31" t="s"/>
      <c r="C184" s="31" t="s"/>
    </row>
    <row r="185" spans="2:3">
      <c r="B185" s="31" t="s"/>
      <c r="C185" s="31" t="s"/>
    </row>
    <row r="186" spans="2:3">
      <c r="B186" s="31" t="s"/>
      <c r="C186" s="31" t="s"/>
    </row>
    <row r="187" spans="2:3">
      <c r="B187" s="31" t="s"/>
      <c r="C187" s="31" t="s"/>
    </row>
  </sheetData>
  <mergeCells count="38">
    <mergeCell ref="V1:AG1"/>
    <mergeCell ref="V2:AB2"/>
    <mergeCell ref="AC2:AG2"/>
    <mergeCell ref="AI2:AI3"/>
    <mergeCell ref="AJ2:AJ3"/>
    <mergeCell ref="AK2:AK3"/>
    <mergeCell ref="AL2:AL3"/>
    <mergeCell ref="R1:R3"/>
    <mergeCell ref="S1:S3"/>
    <mergeCell ref="T1:T3"/>
    <mergeCell ref="U1:U3"/>
    <mergeCell ref="I1:L1"/>
    <mergeCell ref="I2:I3"/>
    <mergeCell ref="J2:J3"/>
    <mergeCell ref="K2:K3"/>
    <mergeCell ref="L2:L3"/>
    <mergeCell ref="M1:O1"/>
    <mergeCell ref="M2:M3"/>
    <mergeCell ref="N2:N3"/>
    <mergeCell ref="O2:O3"/>
    <mergeCell ref="P1:P3"/>
    <mergeCell ref="Q1:Q3"/>
    <mergeCell ref="E1:H1"/>
    <mergeCell ref="E2:E3"/>
    <mergeCell ref="F2:F3"/>
    <mergeCell ref="G2:G3"/>
    <mergeCell ref="H2:H3"/>
    <mergeCell ref="A1:A3"/>
    <mergeCell ref="B1:B3"/>
    <mergeCell ref="C1:C3"/>
    <mergeCell ref="D1:D3"/>
    <mergeCell ref="AJ1:AL1"/>
    <mergeCell ref="AH2:AH4"/>
    <mergeCell ref="AH1:AI1"/>
    <mergeCell ref="A5:AL5"/>
    <mergeCell ref="A13:AL13"/>
    <mergeCell ref="A22:AL22"/>
    <mergeCell ref="A36:AL36"/>
  </mergeCells>
  <conditionalFormatting sqref="V37:AG48 V51:AG59 V62:AG75">
    <cfRule type="expression" dxfId="0" priority="1">
      <formula>=MAX(INDIRECT("V"&amp;ROW()&amp;":AG"&amp;ROW()))=V37</formula>
    </cfRule>
  </conditionalFormatting>
  <conditionalFormatting sqref="D10:D12 D14:D16 D23:D39 F40:F41 E42:E48 D45:D46 D51:D53 E54 E60 D62:D74 E74:E75 D80:D81">
    <cfRule type="expression" dxfId="1" priority="2">
      <formula>=D10=MAX($D$7:$D$81)</formula>
    </cfRule>
  </conditionalFormatting>
  <dataValidations>
    <dataValidation type="list" errorStyle="stop" allowBlank="true" showDropDown="false" showInputMessage="true" showErrorMessage="true" prompt="" sqref="C1:C1048576">
      <formula1>"中文,英文,diff,"</formula1>
    </dataValidation>
    <dataValidation type="list" errorStyle="stop" allowBlank="true" showDropDown="false" showInputMessage="true" showErrorMessage="true" prompt="" sqref="B1:B1048576">
      <formula1>"闭源模型,开源通用模型,开源专用模型,"</formula1>
    </dataValidation>
  </dataValidations>
</worksheet>
</file>

<file path=xl/worksheets/sheet8.xml><?xml version="1.0" encoding="utf-8"?>
<worksheet xmlns:r="http://schemas.openxmlformats.org/officeDocument/2006/relationships" xmlns="http://schemas.openxmlformats.org/spreadsheetml/2006/main">
  <sheetPr codeName="指标old">
    <tabColor rgb="FFFFFFFF"/>
  </sheetPr>
  <dimension ref="C187"/>
  <sheetViews>
    <sheetView showGridLines="true" workbookViewId="0">
      <pane xSplit="1" ySplit="3" topLeftCell="B4" state="frozen"/>
    </sheetView>
  </sheetViews>
  <cols>
    <col min="1" max="1" width="29.2734" customWidth="true"/>
    <col min="2" max="2" width="11.7344" customWidth="true"/>
    <col min="3" max="3" width="11.7344" customWidth="true"/>
    <col min="4" max="4" width="10.5234" style="160" customWidth="true"/>
    <col min="5" max="12" width="9.71094" style="160" customWidth="true"/>
    <col min="13" max="13" width="11.1914" customWidth="true"/>
    <col min="14" max="14" width="11.6016" customWidth="true"/>
    <col min="15" max="15" width="12.2734" customWidth="true"/>
    <col min="16" max="18" width="12.9531" customWidth="true"/>
    <col min="19" max="19" width="13.4844" customWidth="true"/>
    <col min="20" max="20" width="12.6836" customWidth="true"/>
    <col min="21" max="21" width="15.5117" customWidth="true"/>
    <col min="22" max="33" width="9.71094" customWidth="true"/>
  </cols>
  <sheetData>
    <row r="1" spans="1:39" s="34">
      <c r="A1" s="3" t="s">
        <v>1</v>
      </c>
      <c r="B1" s="3" t="s">
        <v>2</v>
      </c>
      <c r="C1" s="3" t="s">
        <v>3</v>
      </c>
      <c r="D1" s="4" t="s">
        <v>4</v>
      </c>
      <c r="E1" s="5" t="s">
        <v>5</v>
      </c>
      <c r="F1" s="6" t="s"/>
      <c r="G1" s="6" t="s"/>
      <c r="H1" s="7" t="s"/>
      <c r="I1" s="8" t="s">
        <v>6</v>
      </c>
      <c r="J1" s="6" t="s"/>
      <c r="K1" s="6" t="s"/>
      <c r="L1" s="7" t="s"/>
      <c r="M1" s="9" t="s">
        <v>7</v>
      </c>
      <c r="N1" s="6" t="s"/>
      <c r="O1" s="7" t="s"/>
      <c r="P1" s="10" t="s">
        <v>8</v>
      </c>
      <c r="Q1" s="10" t="s">
        <v>9</v>
      </c>
      <c r="R1" s="11" t="s">
        <v>10</v>
      </c>
      <c r="S1" s="10" t="s">
        <v>393</v>
      </c>
      <c r="T1" s="10" t="s">
        <v>11</v>
      </c>
      <c r="U1" s="10" t="s">
        <v>12</v>
      </c>
      <c r="V1" s="12" t="s">
        <v>13</v>
      </c>
      <c r="W1" s="6" t="s"/>
      <c r="X1" s="6" t="s"/>
      <c r="Y1" s="13" t="s"/>
      <c r="Z1" s="6" t="s"/>
      <c r="AA1" s="6" t="s"/>
      <c r="AB1" s="6" t="s"/>
      <c r="AC1" s="6" t="s"/>
      <c r="AD1" s="6" t="s"/>
      <c r="AE1" s="6" t="s"/>
      <c r="AF1" s="6" t="s"/>
      <c r="AG1" s="7" t="s"/>
      <c r="AH1" s="14" t="s">
        <v>14</v>
      </c>
      <c r="AI1" s="7" t="s"/>
      <c r="AJ1" s="15" t="s">
        <v>15</v>
      </c>
      <c r="AK1" s="16" t="s"/>
      <c r="AL1" s="16" t="s"/>
      <c r="AM1" s="16" t="s"/>
    </row>
    <row r="2" spans="1:39" s="34">
      <c r="A2" s="17" t="s"/>
      <c r="B2" s="17" t="s"/>
      <c r="C2" s="17" t="s"/>
      <c r="D2" s="18" t="s"/>
      <c r="E2" s="19" t="s">
        <v>16</v>
      </c>
      <c r="F2" s="19" t="s">
        <v>17</v>
      </c>
      <c r="G2" s="19" t="s">
        <v>18</v>
      </c>
      <c r="H2" s="19" t="s">
        <v>19</v>
      </c>
      <c r="I2" s="20">
        <v>0</v>
      </c>
      <c r="J2" s="20">
        <v>1</v>
      </c>
      <c r="K2" s="20">
        <v>2</v>
      </c>
      <c r="L2" s="20">
        <v>3</v>
      </c>
      <c r="M2" s="10" t="s">
        <v>20</v>
      </c>
      <c r="N2" s="10" t="s">
        <v>21</v>
      </c>
      <c r="O2" s="10" t="s">
        <v>22</v>
      </c>
      <c r="P2" s="21" t="s"/>
      <c r="Q2" s="21" t="s"/>
      <c r="R2" s="13" t="s"/>
      <c r="S2" s="21" t="s"/>
      <c r="T2" s="21" t="s"/>
      <c r="U2" s="21" t="s"/>
      <c r="V2" s="22" t="s">
        <v>23</v>
      </c>
      <c r="W2" s="23" t="s"/>
      <c r="X2" s="23" t="s"/>
      <c r="Y2" s="24" t="s"/>
      <c r="Z2" s="23" t="s"/>
      <c r="AA2" s="23" t="s"/>
      <c r="AB2" s="23" t="s"/>
      <c r="AC2" s="25" t="s">
        <v>24</v>
      </c>
      <c r="AD2" s="6" t="s"/>
      <c r="AE2" s="6" t="s"/>
      <c r="AF2" s="6" t="s"/>
      <c r="AG2" s="7" t="s"/>
      <c r="AH2" s="26" t="s">
        <v>25</v>
      </c>
      <c r="AI2" s="27" t="s">
        <v>26</v>
      </c>
      <c r="AJ2" s="28" t="s">
        <v>27</v>
      </c>
      <c r="AK2" s="28" t="s">
        <v>28</v>
      </c>
      <c r="AL2" s="28" t="s">
        <v>29</v>
      </c>
      <c r="AM2" s="28" t="s">
        <v>30</v>
      </c>
    </row>
    <row r="3" spans="1:39" s="34" ht="27.75" customHeight="true">
      <c r="A3" s="29" t="s"/>
      <c r="B3" s="29" t="s"/>
      <c r="C3" s="29" t="s"/>
      <c r="D3" s="29" t="s"/>
      <c r="E3" s="29" t="s"/>
      <c r="F3" s="29" t="s"/>
      <c r="G3" s="29" t="s"/>
      <c r="H3" s="29" t="s"/>
      <c r="I3" s="29" t="s"/>
      <c r="J3" s="29" t="s"/>
      <c r="K3" s="29" t="s"/>
      <c r="L3" s="29" t="s"/>
      <c r="M3" s="29" t="s"/>
      <c r="N3" s="29" t="s"/>
      <c r="O3" s="29" t="s"/>
      <c r="P3" s="29" t="s"/>
      <c r="Q3" s="29" t="s"/>
      <c r="R3" s="29" t="s"/>
      <c r="S3" s="29" t="s"/>
      <c r="T3" s="29" t="s"/>
      <c r="U3" s="29" t="s"/>
      <c r="V3" s="24" t="s">
        <v>31</v>
      </c>
      <c r="W3" s="24" t="s">
        <v>32</v>
      </c>
      <c r="X3" s="24" t="s">
        <v>33</v>
      </c>
      <c r="Y3" s="24" t="s">
        <v>34</v>
      </c>
      <c r="Z3" s="24" t="s">
        <v>35</v>
      </c>
      <c r="AA3" s="24" t="s">
        <v>36</v>
      </c>
      <c r="AB3" s="24" t="s">
        <v>37</v>
      </c>
      <c r="AC3" s="30" t="s">
        <v>38</v>
      </c>
      <c r="AD3" s="30" t="s">
        <v>39</v>
      </c>
      <c r="AE3" s="30" t="s">
        <v>40</v>
      </c>
      <c r="AF3" s="30" t="s">
        <v>41</v>
      </c>
      <c r="AG3" s="30" t="s">
        <v>42</v>
      </c>
      <c r="AH3" s="29" t="s"/>
      <c r="AI3" s="29" t="s"/>
      <c r="AJ3" s="29" t="s"/>
      <c r="AK3" s="29" t="s"/>
      <c r="AL3" s="29" t="s"/>
      <c r="AM3" s="29" t="s"/>
    </row>
    <row r="4" spans="1:36" hidden="true">
      <c r="A4" t="s">
        <v>43</v>
      </c>
      <c r="B4" s="31" t="s"/>
      <c r="C4" s="32" t="s">
        <v>44</v>
      </c>
      <c r="D4" s="33">
        <f>=AVERAGE(E4:L4)</f>
        <v>0.866687483177184</v>
      </c>
      <c r="E4" s="33">
        <f>=310/(310+42)</f>
        <v>0.880681818181818</v>
      </c>
      <c r="F4" s="33">
        <f>=328/(328+83)</f>
        <v>0.798053527980535</v>
      </c>
      <c r="G4" s="33">
        <f>=302/(302+13)</f>
        <v>0.958730158730159</v>
      </c>
      <c r="H4" s="33">
        <v>0.9124</v>
      </c>
      <c r="I4" s="33">
        <f>=504/(504+76)</f>
        <v>0.868965517241379</v>
      </c>
      <c r="J4" s="33">
        <f>=286/(286+49)</f>
        <v>0.853731343283582</v>
      </c>
      <c r="K4" s="33">
        <f>=264/(264+56)</f>
        <v>0.825</v>
      </c>
      <c r="L4" s="33">
        <f>=214/(214+42)</f>
        <v>0.8359375</v>
      </c>
      <c r="S4" s="34" t="s"/>
      <c r="T4" s="34" t="s"/>
      <c r="U4" s="34" t="s"/>
      <c r="V4" s="34" t="s"/>
      <c r="AH4" t="s"/>
      <c r="AJ4" t="s">
        <v>46</v>
      </c>
    </row>
    <row r="5" spans="1:36" hidden="true">
      <c r="A5" t="s">
        <v>47</v>
      </c>
      <c r="B5" s="31" t="s"/>
      <c r="C5" s="31" t="s">
        <v>44</v>
      </c>
      <c r="D5" s="33">
        <v>0.795836131631968</v>
      </c>
      <c r="E5" s="33">
        <v>0.7989</v>
      </c>
      <c r="F5" s="33">
        <v>0.5976</v>
      </c>
      <c r="G5" s="33">
        <v>0.8984</v>
      </c>
      <c r="H5" s="33">
        <v>0.9124</v>
      </c>
      <c r="I5" s="33">
        <v>0.8083</v>
      </c>
      <c r="J5" s="33">
        <v>0.8185</v>
      </c>
      <c r="K5" s="33">
        <v>0.7875</v>
      </c>
      <c r="L5" s="33">
        <v>0.748</v>
      </c>
      <c r="AJ5" t="s">
        <v>48</v>
      </c>
    </row>
    <row r="6" spans="1:36" hidden="true">
      <c r="A6" t="s">
        <v>47</v>
      </c>
      <c r="B6" s="31" t="s"/>
      <c r="C6" s="31" t="s">
        <v>44</v>
      </c>
      <c r="D6" s="33">
        <v>0.793821356615178</v>
      </c>
      <c r="E6" s="33">
        <v>0.796</v>
      </c>
      <c r="F6" s="33">
        <v>0.6122</v>
      </c>
      <c r="G6" s="33">
        <v>0.8889</v>
      </c>
      <c r="H6" s="33">
        <v>0.9002</v>
      </c>
      <c r="I6" s="33">
        <v>0.8152</v>
      </c>
      <c r="J6" s="33">
        <v>0.7976</v>
      </c>
      <c r="K6" s="33">
        <v>0.8</v>
      </c>
      <c r="L6" s="33">
        <v>0.7323</v>
      </c>
      <c r="AJ6" t="s">
        <v>46</v>
      </c>
    </row>
    <row r="7" spans="1:36" hidden="true">
      <c r="A7" t="s">
        <v>47</v>
      </c>
      <c r="B7" s="31" t="s"/>
      <c r="C7" s="32" t="s">
        <v>49</v>
      </c>
      <c r="D7" s="33">
        <f>=AVERAGE(E7:L7)</f>
        <v>0.788825</v>
      </c>
      <c r="E7" s="33">
        <v>0.8272</v>
      </c>
      <c r="F7" s="33">
        <v>0.5902</v>
      </c>
      <c r="G7" s="33">
        <v>0.8921</v>
      </c>
      <c r="H7" s="33">
        <v>0.8662</v>
      </c>
      <c r="I7" s="33">
        <v>0.7945</v>
      </c>
      <c r="J7" s="33">
        <v>0.8125</v>
      </c>
      <c r="K7" s="33">
        <v>0.7562</v>
      </c>
      <c r="L7" s="33">
        <v>0.7717</v>
      </c>
      <c r="AJ7" t="s">
        <v>48</v>
      </c>
    </row>
    <row r="8" spans="1:12" hidden="true">
      <c r="A8" t="s">
        <v>50</v>
      </c>
      <c r="B8" s="31" t="s"/>
      <c r="C8" s="32" t="s">
        <v>49</v>
      </c>
      <c r="D8" s="33">
        <v>0.592343854936199</v>
      </c>
      <c r="E8" s="33">
        <v>0.4618</v>
      </c>
      <c r="F8" s="33">
        <v>0.4317</v>
      </c>
      <c r="G8" s="33">
        <v>0.9365</v>
      </c>
      <c r="H8" s="33">
        <v>0.601</v>
      </c>
      <c r="I8" s="33">
        <v>0.6459</v>
      </c>
      <c r="J8" s="33">
        <v>0.5863</v>
      </c>
      <c r="K8" s="33">
        <v>0.5781</v>
      </c>
      <c r="L8" s="33">
        <v>0.4961</v>
      </c>
    </row>
    <row r="9" spans="1:36" hidden="true">
      <c r="A9" t="s">
        <v>51</v>
      </c>
      <c r="B9" s="31" t="s"/>
      <c r="C9" s="32" t="s">
        <v>49</v>
      </c>
      <c r="D9" s="33">
        <v>0.365345869711216</v>
      </c>
      <c r="E9" s="33">
        <v>0.2833</v>
      </c>
      <c r="F9" s="33">
        <v>0.3024</v>
      </c>
      <c r="G9" s="33">
        <v>0.8794</v>
      </c>
      <c r="H9" s="33">
        <v>0.1046</v>
      </c>
      <c r="I9" s="33">
        <v>0.3489</v>
      </c>
      <c r="J9" s="33">
        <v>0.4196</v>
      </c>
      <c r="K9" s="33">
        <v>0.3438</v>
      </c>
      <c r="L9" s="33">
        <v>0.3583</v>
      </c>
      <c r="AI9" s="35" t="s"/>
      <c r="AJ9" s="35" t="s">
        <v>52</v>
      </c>
    </row>
    <row r="10" spans="1:12" s="36" hidden="true">
      <c r="A10" s="36" t="s">
        <v>51</v>
      </c>
      <c r="B10" s="31" t="s"/>
      <c r="C10" s="37" t="s">
        <v>49</v>
      </c>
      <c r="D10" s="38">
        <v>0.298186702484889</v>
      </c>
      <c r="E10" s="38">
        <v>0.2663</v>
      </c>
      <c r="F10" s="38">
        <v>0.0732</v>
      </c>
      <c r="G10" s="38">
        <v>0.8794</v>
      </c>
      <c r="H10" s="38">
        <v>0.1046</v>
      </c>
      <c r="I10" s="38">
        <v>0.2539</v>
      </c>
      <c r="J10" s="38">
        <v>0.3661</v>
      </c>
      <c r="K10" s="38">
        <v>0.2875</v>
      </c>
      <c r="L10" s="38">
        <v>0.3228</v>
      </c>
    </row>
    <row r="11" spans="1:12" hidden="true">
      <c r="A11" t="s">
        <v>53</v>
      </c>
      <c r="B11" s="31" t="s"/>
      <c r="C11" s="32" t="s">
        <v>49</v>
      </c>
      <c r="D11" s="33">
        <v>0.766286098052384</v>
      </c>
      <c r="E11" s="33">
        <v>0.8584</v>
      </c>
      <c r="F11" s="33">
        <v>0.6951</v>
      </c>
      <c r="G11" s="33">
        <v>0.8857</v>
      </c>
      <c r="H11" s="33">
        <v>0.6667</v>
      </c>
      <c r="I11" s="33">
        <v>0.7841</v>
      </c>
      <c r="J11" s="33">
        <v>0.753</v>
      </c>
      <c r="K11" s="33">
        <v>0.7656</v>
      </c>
      <c r="L11" s="33">
        <v>0.7441</v>
      </c>
    </row>
    <row r="12" spans="1:12" hidden="true">
      <c r="A12" t="s">
        <v>54</v>
      </c>
      <c r="B12" s="31" t="s"/>
      <c r="C12" s="32" t="s">
        <v>49</v>
      </c>
      <c r="D12" s="33">
        <v>0.19543317662861</v>
      </c>
      <c r="E12" s="33">
        <v>0.5779</v>
      </c>
      <c r="F12" s="33">
        <v>0.0732</v>
      </c>
      <c r="G12" s="33">
        <v>0.1778</v>
      </c>
      <c r="H12" s="33">
        <v>0.0024</v>
      </c>
      <c r="I12" s="33">
        <v>0.19</v>
      </c>
      <c r="J12" s="33">
        <v>0.1935</v>
      </c>
      <c r="K12" s="33">
        <v>0.2062</v>
      </c>
      <c r="L12" s="33">
        <v>0.1969</v>
      </c>
    </row>
    <row r="13" spans="1:49" s="159" hidden="true">
      <c r="A13" s="39" t="s">
        <v>55</v>
      </c>
      <c r="B13" s="40" t="s"/>
      <c r="C13" s="41" t="s"/>
      <c r="D13" s="6" t="s"/>
      <c r="E13" s="6" t="s"/>
      <c r="F13" s="6" t="s"/>
      <c r="G13" s="6" t="s"/>
      <c r="H13" s="6" t="s"/>
      <c r="I13" s="6" t="s"/>
      <c r="J13" s="6" t="s"/>
      <c r="K13" s="6" t="s"/>
      <c r="L13" s="6" t="s"/>
      <c r="M13" s="42" t="s"/>
      <c r="N13" s="42" t="s"/>
      <c r="O13" s="42" t="s"/>
      <c r="P13" s="42" t="s"/>
      <c r="Q13" s="42" t="s"/>
      <c r="R13" s="42" t="s"/>
      <c r="S13" s="42" t="s"/>
      <c r="T13" s="42" t="s"/>
      <c r="U13" s="42" t="s"/>
      <c r="V13" s="42" t="s"/>
      <c r="Y13" s="42" t="s"/>
      <c r="AH13" s="6" t="s"/>
      <c r="AI13" s="42" t="s"/>
      <c r="AJ13" s="6" t="s"/>
      <c r="AK13" s="6" t="s"/>
      <c r="AL13" s="6" t="s"/>
      <c r="AM13" s="6" t="s"/>
      <c r="AN13" s="6" t="s"/>
      <c r="AO13" s="6" t="s"/>
      <c r="AP13" s="6" t="s"/>
      <c r="AQ13" s="6" t="s"/>
      <c r="AR13" s="6" t="s"/>
      <c r="AS13" s="6" t="s"/>
      <c r="AT13" s="6" t="s"/>
      <c r="AU13" s="6" t="s"/>
      <c r="AV13" s="6" t="s"/>
      <c r="AW13" s="7" t="s"/>
    </row>
    <row r="14" spans="1:12" hidden="true">
      <c r="A14" t="s">
        <v>47</v>
      </c>
      <c r="B14" s="31" t="s"/>
      <c r="C14" s="32" t="s">
        <v>49</v>
      </c>
      <c r="D14" s="33">
        <v>0.77367360644728</v>
      </c>
      <c r="E14" s="33">
        <v>0.8258</v>
      </c>
      <c r="F14" s="33">
        <v>0.5606</v>
      </c>
      <c r="G14" s="33">
        <v>0.8707</v>
      </c>
      <c r="H14" s="33">
        <v>0.8759</v>
      </c>
      <c r="I14" s="33">
        <v>0.7737</v>
      </c>
      <c r="J14" s="33">
        <v>0.8006</v>
      </c>
      <c r="K14" s="33">
        <v>0.7719</v>
      </c>
      <c r="L14" s="33">
        <v>0.7402</v>
      </c>
    </row>
    <row r="15" spans="1:12" hidden="true">
      <c r="A15" t="s">
        <v>50</v>
      </c>
      <c r="B15" s="31" t="s"/>
      <c r="C15" s="32" t="s">
        <v>49</v>
      </c>
      <c r="D15" s="33">
        <v>0.597716588314305</v>
      </c>
      <c r="E15" s="33">
        <v>0.4607</v>
      </c>
      <c r="F15" s="33">
        <v>0.4537</v>
      </c>
      <c r="G15" s="33">
        <v>0.9306</v>
      </c>
      <c r="H15" s="33">
        <v>0.6076</v>
      </c>
      <c r="I15" s="33">
        <v>0.6701</v>
      </c>
      <c r="J15" s="33">
        <v>0.5833</v>
      </c>
      <c r="K15" s="33">
        <v>0.5844</v>
      </c>
      <c r="L15" s="33">
        <v>0.4685</v>
      </c>
    </row>
    <row r="16" spans="1:12" hidden="true">
      <c r="A16" t="s">
        <v>53</v>
      </c>
      <c r="B16" s="31" t="s"/>
      <c r="C16" s="32" t="s">
        <v>49</v>
      </c>
      <c r="D16" s="33">
        <v>0.809267965077233</v>
      </c>
      <c r="E16" s="33">
        <v>0.868</v>
      </c>
      <c r="F16" s="33">
        <v>0.7221</v>
      </c>
      <c r="G16" s="33">
        <v>0.8927</v>
      </c>
      <c r="H16" s="33">
        <v>0.7823</v>
      </c>
      <c r="I16" s="33">
        <v>0.8325</v>
      </c>
      <c r="J16" s="33">
        <v>0.7649</v>
      </c>
      <c r="K16" s="33">
        <v>0.8125</v>
      </c>
      <c r="L16" s="33">
        <v>0.811</v>
      </c>
    </row>
    <row r="17" spans="1:49" s="159" hidden="true">
      <c r="A17" s="39" t="s">
        <v>56</v>
      </c>
      <c r="B17" s="40" t="s"/>
      <c r="C17" s="41" t="s"/>
      <c r="D17" s="6" t="s"/>
      <c r="E17" s="6" t="s"/>
      <c r="F17" s="6" t="s"/>
      <c r="G17" s="6" t="s"/>
      <c r="H17" s="6" t="s"/>
      <c r="I17" s="6" t="s"/>
      <c r="J17" s="6" t="s"/>
      <c r="K17" s="6" t="s"/>
      <c r="L17" s="6" t="s"/>
      <c r="M17" s="42" t="s"/>
      <c r="N17" s="42" t="s"/>
      <c r="O17" s="42" t="s"/>
      <c r="P17" s="42" t="s"/>
      <c r="Q17" s="42" t="s"/>
      <c r="R17" s="42" t="s"/>
      <c r="S17" s="42" t="s"/>
      <c r="T17" s="42" t="s"/>
      <c r="U17" s="42" t="s"/>
      <c r="V17" s="42" t="s"/>
      <c r="Y17" s="42" t="s"/>
      <c r="AH17" s="6" t="s"/>
      <c r="AI17" s="42" t="s"/>
      <c r="AJ17" s="6" t="s"/>
      <c r="AK17" s="6" t="s"/>
      <c r="AL17" s="6" t="s"/>
      <c r="AM17" s="6" t="s"/>
      <c r="AN17" s="6" t="s"/>
      <c r="AO17" s="6" t="s"/>
      <c r="AP17" s="6" t="s"/>
      <c r="AQ17" s="6" t="s"/>
      <c r="AR17" s="6" t="s"/>
      <c r="AS17" s="6" t="s"/>
      <c r="AT17" s="6" t="s"/>
      <c r="AU17" s="6" t="s"/>
      <c r="AV17" s="6" t="s"/>
      <c r="AW17" s="7" t="s"/>
    </row>
    <row r="18" spans="1:34" hidden="true">
      <c r="A18" t="s">
        <v>47</v>
      </c>
      <c r="B18" s="31" t="s"/>
      <c r="C18" s="32" t="s">
        <v>49</v>
      </c>
      <c r="D18" s="43">
        <v>0.74945</v>
      </c>
      <c r="E18" s="43">
        <v>0.826839</v>
      </c>
      <c r="F18" s="43">
        <v>0.551724</v>
      </c>
      <c r="G18" s="43">
        <v>0.834061</v>
      </c>
      <c r="H18" s="43">
        <v>0.78899</v>
      </c>
      <c r="I18" s="43">
        <v>0.779761</v>
      </c>
      <c r="J18" s="43">
        <v>0.715625</v>
      </c>
      <c r="K18" s="43">
        <v>0.751968</v>
      </c>
      <c r="L18" s="33">
        <v>0.74945</v>
      </c>
      <c r="AH18" t="s">
        <v>57</v>
      </c>
    </row>
    <row r="19" spans="2:12" hidden="true">
      <c r="B19" s="31" t="s"/>
      <c r="C19" s="32" t="s"/>
      <c r="D19" s="43">
        <v>0.630769</v>
      </c>
      <c r="E19" s="43">
        <v>0.662337</v>
      </c>
      <c r="F19" s="43">
        <v>0.370689</v>
      </c>
      <c r="G19" s="43">
        <v>0.834061</v>
      </c>
      <c r="H19" s="43">
        <v>0.66055</v>
      </c>
      <c r="I19" s="43">
        <v>0.681547</v>
      </c>
      <c r="J19" s="43">
        <v>0.584375</v>
      </c>
      <c r="K19" s="43">
        <v>0.622047</v>
      </c>
      <c r="L19" s="43">
        <v>0.630769</v>
      </c>
    </row>
    <row r="20" spans="2:12" hidden="true">
      <c r="B20" s="31" t="s"/>
      <c r="C20" s="32" t="s">
        <v>58</v>
      </c>
      <c r="D20" s="33">
        <f>=D19-D18</f>
        <v>-0.118681</v>
      </c>
      <c r="E20" s="33">
        <f>=E19-E18</f>
        <v>-0.164502</v>
      </c>
      <c r="F20" s="33">
        <f>=F19-F18</f>
        <v>-0.181035</v>
      </c>
      <c r="G20" s="33">
        <f>=G19-G18</f>
        <v>0</v>
      </c>
      <c r="H20" s="33">
        <f>=H19-H18</f>
        <v>-0.12844</v>
      </c>
      <c r="I20" s="33">
        <f>=I19-I18</f>
        <v>-0.098214</v>
      </c>
      <c r="J20" s="33">
        <f>=J19-J18</f>
        <v>-0.13125</v>
      </c>
      <c r="K20" s="33">
        <f>=K19-K18</f>
        <v>-0.129921</v>
      </c>
      <c r="L20" s="33">
        <f>=L19-L18</f>
        <v>-0.118681</v>
      </c>
    </row>
    <row r="21" spans="1:34" hidden="true">
      <c r="A21" t="s">
        <v>53</v>
      </c>
      <c r="B21" s="31" t="s"/>
      <c r="C21" s="32" t="s">
        <v>49</v>
      </c>
      <c r="D21" s="33">
        <v>0.807692</v>
      </c>
      <c r="E21" s="33">
        <v>0.896103</v>
      </c>
      <c r="F21" s="33">
        <v>0.698275</v>
      </c>
      <c r="G21" s="33">
        <v>0.873362</v>
      </c>
      <c r="H21" s="33">
        <v>0.761467</v>
      </c>
      <c r="I21" s="33">
        <v>0.806547</v>
      </c>
      <c r="J21" s="33">
        <v>0.809375</v>
      </c>
      <c r="K21" s="33">
        <v>0.807086</v>
      </c>
      <c r="L21" s="33">
        <v>0.807692</v>
      </c>
      <c r="AH21" t="s">
        <v>57</v>
      </c>
    </row>
    <row r="22" spans="2:12" hidden="true">
      <c r="B22" s="31" t="s"/>
      <c r="C22" s="32" t="s"/>
      <c r="D22" s="44">
        <v>0.695604</v>
      </c>
      <c r="E22" s="44">
        <v>0.744588</v>
      </c>
      <c r="F22" s="44">
        <v>0.5</v>
      </c>
      <c r="G22" s="44">
        <v>0.873362</v>
      </c>
      <c r="H22" s="44">
        <v>0.665137</v>
      </c>
      <c r="I22" s="44">
        <v>0.693452</v>
      </c>
      <c r="J22" s="44">
        <v>0.7125</v>
      </c>
      <c r="K22" s="44">
        <v>0.677165</v>
      </c>
      <c r="L22" s="44">
        <v>0.695604</v>
      </c>
    </row>
    <row r="23" spans="2:12" hidden="true">
      <c r="B23" s="31" t="s"/>
      <c r="C23" s="32" t="s">
        <v>58</v>
      </c>
      <c r="D23" s="33">
        <f>=D22-D21</f>
        <v>-0.112088</v>
      </c>
      <c r="E23" s="33">
        <f>=E22-E21</f>
        <v>-0.151515</v>
      </c>
      <c r="F23" s="33">
        <f>=F22-F21</f>
        <v>-0.198275</v>
      </c>
      <c r="G23" s="33">
        <f>=G22-G21</f>
        <v>0</v>
      </c>
      <c r="H23" s="33">
        <f>=H22-H21</f>
        <v>-0.09633</v>
      </c>
      <c r="I23" s="33">
        <f>=I22-I21</f>
        <v>-0.113095</v>
      </c>
      <c r="J23" s="33">
        <f>=J22-J21</f>
        <v>-0.096875</v>
      </c>
      <c r="K23" s="33">
        <f>=K22-K21</f>
        <v>-0.129921</v>
      </c>
      <c r="L23" s="33">
        <f>=L22-L21</f>
        <v>-0.112088</v>
      </c>
    </row>
    <row r="24" spans="1:49" s="159" hidden="true">
      <c r="A24" s="39" t="s">
        <v>59</v>
      </c>
      <c r="B24" s="40" t="s"/>
      <c r="C24" s="41" t="s"/>
      <c r="D24" s="6" t="s"/>
      <c r="E24" s="6" t="s"/>
      <c r="F24" s="6" t="s"/>
      <c r="G24" s="6" t="s"/>
      <c r="H24" s="6" t="s"/>
      <c r="I24" s="6" t="s"/>
      <c r="J24" s="6" t="s"/>
      <c r="K24" s="6" t="s"/>
      <c r="L24" s="6" t="s"/>
      <c r="M24" s="42" t="s"/>
      <c r="N24" s="42" t="s"/>
      <c r="O24" s="42" t="s"/>
      <c r="P24" s="42" t="s"/>
      <c r="Q24" s="42" t="s"/>
      <c r="R24" s="42" t="s"/>
      <c r="S24" s="42" t="s"/>
      <c r="T24" s="42" t="s"/>
      <c r="U24" s="42" t="s"/>
      <c r="V24" s="42" t="s"/>
      <c r="Y24" s="42" t="s"/>
      <c r="AH24" s="6" t="s"/>
      <c r="AI24" s="42" t="s"/>
      <c r="AJ24" s="6" t="s"/>
      <c r="AK24" s="6" t="s"/>
      <c r="AL24" s="6" t="s"/>
      <c r="AM24" s="6" t="s"/>
      <c r="AN24" s="6" t="s"/>
      <c r="AO24" s="6" t="s"/>
      <c r="AP24" s="6" t="s"/>
      <c r="AQ24" s="6" t="s"/>
      <c r="AR24" s="6" t="s"/>
      <c r="AS24" s="6" t="s"/>
      <c r="AT24" s="6" t="s"/>
      <c r="AU24" s="6" t="s"/>
      <c r="AV24" s="6" t="s"/>
      <c r="AW24" s="7" t="s"/>
    </row>
    <row r="25" spans="1:34" hidden="true">
      <c r="A25" t="s">
        <v>53</v>
      </c>
      <c r="B25" s="31" t="s"/>
      <c r="C25" s="32" t="s">
        <v>49</v>
      </c>
      <c r="D25" s="43">
        <v>0.810611</v>
      </c>
      <c r="E25" s="43">
        <v>0.729216</v>
      </c>
      <c r="F25" s="43">
        <v>0.867977</v>
      </c>
      <c r="G25" s="43">
        <v>0.895899</v>
      </c>
      <c r="H25" s="43">
        <v>0.777215</v>
      </c>
      <c r="I25" s="43">
        <v>0.835924</v>
      </c>
      <c r="J25" s="43">
        <v>0.785714</v>
      </c>
      <c r="K25" s="43">
        <v>0.8125</v>
      </c>
      <c r="L25" s="43">
        <v>0.783464</v>
      </c>
      <c r="AH25" t="s">
        <v>57</v>
      </c>
    </row>
    <row r="26" spans="2:12" hidden="true">
      <c r="B26" s="31" t="s"/>
      <c r="C26" s="32" t="s">
        <v>49</v>
      </c>
      <c r="D26" s="43">
        <v>0.711887</v>
      </c>
      <c r="E26" s="43">
        <v>0.558194</v>
      </c>
      <c r="F26" s="43">
        <v>0.744382</v>
      </c>
      <c r="G26" s="43">
        <v>0.895899</v>
      </c>
      <c r="H26" s="43">
        <v>0.698734</v>
      </c>
      <c r="I26" s="43">
        <v>0.715025</v>
      </c>
      <c r="J26" s="43">
        <v>0.693452</v>
      </c>
      <c r="K26" s="43">
        <v>0.74375</v>
      </c>
      <c r="L26" s="43">
        <v>0.688976</v>
      </c>
    </row>
    <row r="27" spans="2:12" hidden="true">
      <c r="B27" s="31" t="s"/>
      <c r="C27" s="32" t="s">
        <v>58</v>
      </c>
      <c r="D27" s="33">
        <f>=D26-D25</f>
        <v>-0.098724</v>
      </c>
      <c r="E27" s="33">
        <f>=E26-E25</f>
        <v>-0.171022</v>
      </c>
      <c r="F27" s="33">
        <f>=F26-F25</f>
        <v>-0.123595</v>
      </c>
      <c r="G27" s="33">
        <f>=G26-G25</f>
        <v>0</v>
      </c>
      <c r="H27" s="33">
        <f>=H26-H25</f>
        <v>-0.078481</v>
      </c>
      <c r="I27" s="33">
        <f>=I26-I25</f>
        <v>-0.120899</v>
      </c>
      <c r="J27" s="33">
        <f>=J26-J25</f>
        <v>-0.092262</v>
      </c>
      <c r="K27" s="33">
        <f>=K26-K25</f>
        <v>-0.06875</v>
      </c>
      <c r="L27" s="33">
        <f>=L26-L25</f>
        <v>-0.094488</v>
      </c>
    </row>
    <row r="28" spans="1:34" hidden="true">
      <c r="A28" t="s">
        <v>47</v>
      </c>
      <c r="B28" s="31" t="s"/>
      <c r="C28" s="31" t="s">
        <v>49</v>
      </c>
      <c r="D28" s="43">
        <v>0.7683</v>
      </c>
      <c r="E28" s="43">
        <v>0.567695</v>
      </c>
      <c r="F28" s="43">
        <v>0.811797</v>
      </c>
      <c r="G28" s="43">
        <v>0.88328</v>
      </c>
      <c r="H28" s="43">
        <v>0.850632</v>
      </c>
      <c r="I28" s="43">
        <v>0.77202</v>
      </c>
      <c r="J28" s="43">
        <v>0.78869</v>
      </c>
      <c r="K28" s="43">
        <v>0.7625</v>
      </c>
      <c r="L28" s="43">
        <v>0.740157</v>
      </c>
      <c r="AH28" t="s">
        <v>57</v>
      </c>
    </row>
    <row r="29" spans="2:12" hidden="true">
      <c r="B29" s="31" t="s"/>
      <c r="C29" s="31" t="s">
        <v>49</v>
      </c>
      <c r="D29" s="43">
        <v>0.668905</v>
      </c>
      <c r="E29" s="43">
        <v>0.427553</v>
      </c>
      <c r="F29" s="43">
        <v>0.66573</v>
      </c>
      <c r="G29" s="43">
        <v>0.88328</v>
      </c>
      <c r="H29" s="43">
        <v>0.756962</v>
      </c>
      <c r="I29" s="43">
        <v>0.677029</v>
      </c>
      <c r="J29" s="43">
        <v>0.690476</v>
      </c>
      <c r="K29" s="43">
        <v>0.64375</v>
      </c>
      <c r="L29" s="43">
        <v>0.653543</v>
      </c>
    </row>
    <row r="30" spans="2:12" hidden="true">
      <c r="B30" s="31" t="s"/>
      <c r="C30" s="31" t="s">
        <v>58</v>
      </c>
      <c r="D30" s="44">
        <f>=D29-D28</f>
        <v>-0.099395</v>
      </c>
      <c r="E30" s="44">
        <f>=E29-E28</f>
        <v>-0.140142</v>
      </c>
      <c r="F30" s="44">
        <f>=F29-F28</f>
        <v>-0.146067</v>
      </c>
      <c r="G30" s="44">
        <f>=G29-G28</f>
        <v>0</v>
      </c>
      <c r="H30" s="44">
        <f>=H29-H28</f>
        <v>-0.09367</v>
      </c>
      <c r="I30" s="44">
        <f>=I29-I28</f>
        <v>-0.094991</v>
      </c>
      <c r="J30" s="44">
        <f>=J29-J28</f>
        <v>-0.098214</v>
      </c>
      <c r="K30" s="44">
        <f>=K29-K28</f>
        <v>-0.11875</v>
      </c>
      <c r="L30" s="44">
        <f>=L29-L28</f>
        <v>-0.086614</v>
      </c>
    </row>
    <row r="31" spans="1:12" hidden="true">
      <c r="A31" t="s">
        <v>47</v>
      </c>
      <c r="B31" s="31" t="s"/>
      <c r="C31" s="32" t="s">
        <v>44</v>
      </c>
      <c r="D31" s="43">
        <v>0.686366</v>
      </c>
      <c r="E31" s="43">
        <v>0.434679</v>
      </c>
      <c r="F31" s="43">
        <v>0.63764</v>
      </c>
      <c r="G31" s="43">
        <v>0.908517</v>
      </c>
      <c r="H31" s="43">
        <v>0.820253</v>
      </c>
      <c r="I31" s="43">
        <v>0.699481</v>
      </c>
      <c r="J31" s="43">
        <v>0.6875</v>
      </c>
      <c r="K31" s="43">
        <v>0.68125</v>
      </c>
      <c r="L31" s="43">
        <v>0.661417</v>
      </c>
    </row>
    <row r="32" spans="2:12" hidden="true">
      <c r="B32" s="31" t="s"/>
      <c r="C32" s="32" t="s">
        <v>49</v>
      </c>
      <c r="D32" s="43">
        <v>0.668905</v>
      </c>
      <c r="E32" s="43">
        <v>0.427553</v>
      </c>
      <c r="F32" s="43">
        <v>0.66573</v>
      </c>
      <c r="G32" s="43">
        <v>0.88328</v>
      </c>
      <c r="H32" s="43">
        <v>0.756962</v>
      </c>
      <c r="I32" s="43">
        <v>0.677029</v>
      </c>
      <c r="J32" s="43">
        <v>0.690476</v>
      </c>
      <c r="K32" s="43">
        <v>0.64375</v>
      </c>
      <c r="L32" s="43">
        <v>0.653543</v>
      </c>
    </row>
    <row r="33" spans="2:12" hidden="true">
      <c r="B33" s="31" t="s"/>
      <c r="C33" s="32" t="s">
        <v>58</v>
      </c>
      <c r="D33" s="33">
        <f>=D32-D31</f>
        <v>-0.017461</v>
      </c>
      <c r="E33" s="33">
        <f>=E32-E31</f>
        <v>-0.007126</v>
      </c>
      <c r="F33" s="33">
        <f>=F32-F31</f>
        <v>0.02809</v>
      </c>
      <c r="G33" s="33">
        <f>=G32-G31</f>
        <v>-0.025237</v>
      </c>
      <c r="H33" s="33">
        <f>=H32-H31</f>
        <v>-0.063291</v>
      </c>
      <c r="I33" s="33">
        <f>=I32-I31</f>
        <v>-0.022452</v>
      </c>
      <c r="J33" s="33">
        <f>=J32-J31</f>
        <v>0.002976</v>
      </c>
      <c r="K33" s="33">
        <f>=K32-K31</f>
        <v>-0.0375</v>
      </c>
      <c r="L33" s="33">
        <f>=L32-L31</f>
        <v>-0.007874</v>
      </c>
    </row>
    <row r="34" spans="1:12" hidden="true">
      <c r="A34" t="s">
        <v>50</v>
      </c>
      <c r="B34" s="31" t="s"/>
      <c r="C34" s="32" t="s">
        <v>44</v>
      </c>
      <c r="D34" s="43">
        <v>0.436534</v>
      </c>
      <c r="E34" s="43">
        <v>0.313539</v>
      </c>
      <c r="F34" s="43">
        <v>0.432584</v>
      </c>
      <c r="G34" s="43">
        <v>0.88328</v>
      </c>
      <c r="H34" s="43">
        <v>0.212658</v>
      </c>
      <c r="I34" s="43">
        <v>0.385146</v>
      </c>
      <c r="J34" s="43">
        <v>0.485119</v>
      </c>
      <c r="K34" s="43">
        <v>0.48125</v>
      </c>
      <c r="L34" s="43">
        <v>0.43307</v>
      </c>
    </row>
    <row r="35" spans="2:12" hidden="true">
      <c r="B35" s="31" t="s"/>
      <c r="C35" s="32" t="s">
        <v>49</v>
      </c>
      <c r="D35" s="43">
        <v>0.543989</v>
      </c>
      <c r="E35" s="43">
        <v>0.36342</v>
      </c>
      <c r="F35" s="43">
        <v>0.424157</v>
      </c>
      <c r="G35" s="43">
        <v>0.930599</v>
      </c>
      <c r="H35" s="43">
        <v>0.534177</v>
      </c>
      <c r="I35" s="43">
        <v>0.583765</v>
      </c>
      <c r="J35" s="43">
        <v>0.547619</v>
      </c>
      <c r="K35" s="43">
        <v>0.553125</v>
      </c>
      <c r="L35" s="33">
        <v>0.437007</v>
      </c>
    </row>
    <row r="36" spans="2:12" hidden="true">
      <c r="B36" s="31" t="s"/>
      <c r="C36" s="32" t="s">
        <v>58</v>
      </c>
      <c r="D36" s="33">
        <f>=D35-D34</f>
        <v>0.107455</v>
      </c>
      <c r="E36" s="33">
        <f>=E35-E34</f>
        <v>0.049881</v>
      </c>
      <c r="F36" s="33">
        <f>=F35-F34</f>
        <v>-0.008427</v>
      </c>
      <c r="G36" s="33">
        <f>=G35-G34</f>
        <v>0.047319</v>
      </c>
      <c r="H36" s="33">
        <f>=H35-H34</f>
        <v>0.321519</v>
      </c>
      <c r="I36" s="33">
        <f>=I35-I34</f>
        <v>0.198619</v>
      </c>
      <c r="J36" s="33">
        <f>=J35-J34</f>
        <v>0.0625</v>
      </c>
      <c r="K36" s="33">
        <f>=K35-K34</f>
        <v>0.071875</v>
      </c>
      <c r="L36" s="33">
        <f>=L35-L34</f>
        <v>0.003937</v>
      </c>
    </row>
    <row r="37" spans="1:12" hidden="true">
      <c r="A37" t="s">
        <v>60</v>
      </c>
      <c r="B37" s="31" t="s"/>
      <c r="C37" s="32" t="s">
        <v>49</v>
      </c>
      <c r="D37" s="43">
        <v>0.613834</v>
      </c>
      <c r="E37" s="43">
        <v>0.437054</v>
      </c>
      <c r="F37" s="43">
        <v>0.707865</v>
      </c>
      <c r="G37" s="43">
        <v>0.826498</v>
      </c>
      <c r="H37" s="43">
        <v>0.546835</v>
      </c>
      <c r="I37" s="43">
        <v>0.658031</v>
      </c>
      <c r="J37" s="43">
        <v>0.598214</v>
      </c>
      <c r="K37" s="43">
        <v>0.621875</v>
      </c>
      <c r="L37" s="33">
        <v>0.523622</v>
      </c>
    </row>
    <row r="38" spans="1:12" hidden="true">
      <c r="A38" t="s">
        <v>61</v>
      </c>
      <c r="B38" s="31" t="s"/>
      <c r="C38" s="32" t="s">
        <v>49</v>
      </c>
      <c r="D38" s="43">
        <v>0.575554</v>
      </c>
      <c r="E38" s="43">
        <v>0.36342</v>
      </c>
      <c r="F38" s="43">
        <v>0.634831</v>
      </c>
      <c r="G38" s="43">
        <v>0.908517</v>
      </c>
      <c r="H38" s="43">
        <v>0.481012</v>
      </c>
      <c r="I38" s="43">
        <v>0.594127</v>
      </c>
      <c r="J38" s="43">
        <v>0.565476</v>
      </c>
      <c r="K38" s="43">
        <v>0.575</v>
      </c>
      <c r="L38" s="43">
        <v>0.547244</v>
      </c>
    </row>
    <row r="39" spans="1:12" hidden="true">
      <c r="A39" t="s">
        <v>62</v>
      </c>
      <c r="B39" s="31" t="s"/>
      <c r="C39" s="32" t="s">
        <v>49</v>
      </c>
      <c r="D39" s="43">
        <v>0.530557</v>
      </c>
      <c r="E39" s="43">
        <v>0.334916</v>
      </c>
      <c r="F39" s="43">
        <v>0.589887</v>
      </c>
      <c r="G39" s="43">
        <v>0.835962</v>
      </c>
      <c r="H39" s="43">
        <v>0.440506</v>
      </c>
      <c r="I39" s="43">
        <v>0.552677</v>
      </c>
      <c r="J39" s="43">
        <v>0.541666</v>
      </c>
      <c r="K39" s="43">
        <v>0.51875</v>
      </c>
      <c r="L39" s="43">
        <v>0.480314</v>
      </c>
    </row>
    <row r="40" spans="1:12" hidden="true">
      <c r="A40" t="s">
        <v>63</v>
      </c>
      <c r="B40" s="31" t="s"/>
      <c r="C40" s="32" t="s">
        <v>49</v>
      </c>
      <c r="D40" s="43">
        <v>0.459368</v>
      </c>
      <c r="E40" s="43">
        <v>0.232779</v>
      </c>
      <c r="F40" s="43">
        <v>0.494382</v>
      </c>
      <c r="G40" s="43">
        <v>0.829652</v>
      </c>
      <c r="H40" s="43">
        <v>0.372151</v>
      </c>
      <c r="I40" s="43">
        <v>0.457685</v>
      </c>
      <c r="J40" s="43">
        <v>0.446428</v>
      </c>
      <c r="K40" s="43">
        <v>0.490625</v>
      </c>
      <c r="L40" s="43">
        <v>0.440944</v>
      </c>
    </row>
    <row r="41" spans="1:12" hidden="true">
      <c r="A41" t="s">
        <v>64</v>
      </c>
      <c r="B41" s="31" t="s"/>
      <c r="C41" s="32" t="s">
        <v>49</v>
      </c>
      <c r="D41" s="43">
        <v>0.415043</v>
      </c>
      <c r="E41" s="43">
        <v>0.185273</v>
      </c>
      <c r="F41" s="43">
        <v>0.224719</v>
      </c>
      <c r="G41" s="43">
        <v>0.987381</v>
      </c>
      <c r="H41" s="43">
        <v>0.372151</v>
      </c>
      <c r="I41" s="43">
        <v>0.461139</v>
      </c>
      <c r="J41" s="43">
        <v>0.428571</v>
      </c>
      <c r="K41" s="43">
        <v>0.384375</v>
      </c>
      <c r="L41" s="33">
        <v>0.330708</v>
      </c>
    </row>
    <row r="42" spans="1:12" hidden="true">
      <c r="A42" t="s">
        <v>65</v>
      </c>
      <c r="B42" s="31" t="s"/>
      <c r="C42" s="32" t="s">
        <v>49</v>
      </c>
      <c r="D42" s="43">
        <v>0.292813</v>
      </c>
      <c r="E42" s="43">
        <v>0.049881</v>
      </c>
      <c r="F42" s="43">
        <v>0.067415</v>
      </c>
      <c r="G42" s="43">
        <v>0.965299</v>
      </c>
      <c r="H42" s="43">
        <v>0.215189</v>
      </c>
      <c r="I42" s="43">
        <v>0.319516</v>
      </c>
      <c r="J42" s="43">
        <v>0.303571</v>
      </c>
      <c r="K42" s="43">
        <v>0.26875</v>
      </c>
      <c r="L42" s="43">
        <v>0.248031</v>
      </c>
    </row>
    <row r="43" spans="1:49" s="159">
      <c r="A43" s="39" t="s">
        <v>66</v>
      </c>
      <c r="B43" s="40" t="s"/>
      <c r="C43" s="45" t="s"/>
      <c r="D43" s="46" t="s"/>
      <c r="E43" s="46" t="s"/>
      <c r="F43" s="46" t="s"/>
      <c r="G43" s="46" t="s"/>
      <c r="H43" s="46" t="s"/>
      <c r="I43" s="46" t="s"/>
      <c r="J43" s="46" t="s"/>
      <c r="K43" s="46" t="s"/>
      <c r="L43" s="46" t="s"/>
      <c r="M43" s="42" t="s"/>
      <c r="N43" s="42" t="s"/>
      <c r="O43" s="42" t="s"/>
      <c r="P43" s="42" t="s"/>
      <c r="Q43" s="42" t="s"/>
      <c r="R43" s="42" t="s"/>
      <c r="S43" s="42" t="s"/>
      <c r="T43" s="42" t="s"/>
      <c r="U43" s="42" t="s"/>
      <c r="V43" s="42" t="s"/>
      <c r="W43" s="42" t="s"/>
      <c r="X43" s="42" t="s"/>
      <c r="Y43" s="42" t="s"/>
      <c r="Z43" s="42" t="s"/>
      <c r="AA43" s="42" t="s"/>
      <c r="AB43" s="42" t="s"/>
      <c r="AC43" s="42" t="s"/>
      <c r="AD43" s="42" t="s"/>
      <c r="AE43" s="42" t="s"/>
      <c r="AF43" s="42" t="s"/>
      <c r="AG43" s="42" t="s"/>
      <c r="AH43" s="46" t="s"/>
      <c r="AI43" s="42" t="s"/>
      <c r="AJ43" s="46" t="s"/>
      <c r="AK43" s="46" t="s"/>
      <c r="AL43" s="46" t="s"/>
      <c r="AM43" s="46" t="s"/>
      <c r="AN43" s="47" t="s"/>
      <c r="AO43" s="47" t="s"/>
      <c r="AP43" s="47" t="s"/>
      <c r="AQ43" s="47" t="s"/>
      <c r="AR43" s="47" t="s"/>
      <c r="AS43" s="47" t="s"/>
      <c r="AT43" s="47" t="s"/>
      <c r="AU43" s="47" t="s"/>
      <c r="AV43" s="47" t="s"/>
      <c r="AW43" s="48" t="s"/>
    </row>
    <row r="44" spans="1:49" s="50">
      <c r="A44" s="49" t="s">
        <v>67</v>
      </c>
      <c r="B44" s="6" t="s"/>
      <c r="C44" s="6" t="s"/>
      <c r="D44" s="6" t="s"/>
      <c r="E44" s="6" t="s"/>
      <c r="F44" s="6" t="s"/>
      <c r="G44" s="6" t="s"/>
      <c r="H44" s="6" t="s"/>
      <c r="I44" s="6" t="s"/>
      <c r="J44" s="6" t="s"/>
      <c r="K44" s="6" t="s"/>
      <c r="L44" s="6" t="s"/>
      <c r="M44" s="6" t="s"/>
      <c r="N44" s="6" t="s"/>
      <c r="O44" s="6" t="s"/>
      <c r="P44" s="6" t="s"/>
      <c r="Q44" s="6" t="s"/>
      <c r="R44" s="6" t="s"/>
      <c r="S44" s="6" t="s"/>
      <c r="T44" s="6" t="s"/>
      <c r="U44" s="6" t="s"/>
      <c r="V44" s="6" t="s"/>
      <c r="W44" s="6" t="s"/>
      <c r="X44" s="6" t="s"/>
      <c r="Y44" s="50" t="s"/>
      <c r="Z44" s="6" t="s"/>
      <c r="AA44" s="6" t="s"/>
      <c r="AB44" s="6" t="s"/>
      <c r="AC44" s="6" t="s"/>
      <c r="AD44" s="6" t="s"/>
      <c r="AE44" s="6" t="s"/>
      <c r="AF44" s="6" t="s"/>
      <c r="AG44" s="6" t="s"/>
      <c r="AH44" s="6" t="s"/>
      <c r="AI44" s="6" t="s"/>
      <c r="AJ44" s="6" t="s"/>
      <c r="AK44" s="6" t="s"/>
      <c r="AL44" s="6" t="s"/>
      <c r="AM44" s="7" t="s"/>
      <c r="AN44" s="47" t="s"/>
      <c r="AO44" s="47" t="s"/>
      <c r="AP44" s="47" t="s"/>
      <c r="AQ44" s="47" t="s"/>
      <c r="AR44" s="47" t="s"/>
      <c r="AS44" s="47" t="s"/>
      <c r="AT44" s="47" t="s"/>
      <c r="AU44" s="47" t="s"/>
      <c r="AV44" s="47" t="s"/>
      <c r="AW44" s="48" t="s"/>
    </row>
    <row r="45" spans="1:33">
      <c r="A45" t="s">
        <v>68</v>
      </c>
      <c r="B45" s="31" t="s">
        <v>67</v>
      </c>
      <c r="C45" s="31" t="s">
        <v>49</v>
      </c>
      <c r="D45" s="43">
        <v>0.698369</v>
      </c>
      <c r="E45" s="43">
        <v>0.717948</v>
      </c>
      <c r="F45" s="43">
        <v>0.536407</v>
      </c>
      <c r="G45" s="43">
        <v>0.895238</v>
      </c>
      <c r="H45" s="43">
        <v>0.692893</v>
      </c>
      <c r="I45" s="43">
        <v>0.694642</v>
      </c>
      <c r="J45" s="43">
        <v>0.690476</v>
      </c>
      <c r="K45" s="43">
        <v>0.725</v>
      </c>
      <c r="L45" s="43">
        <v>0.683593</v>
      </c>
      <c r="M45" s="43">
        <v>0.589226</v>
      </c>
      <c r="N45" s="33">
        <v>0.365854</v>
      </c>
      <c r="O45" s="33">
        <v>0.418919</v>
      </c>
      <c r="P45" s="33">
        <v>0.638461</v>
      </c>
      <c r="Q45" s="33">
        <v>0.627551</v>
      </c>
      <c r="R45" s="33">
        <v>0.630268</v>
      </c>
      <c r="S45" s="33">
        <v>0.977143</v>
      </c>
      <c r="T45" s="33">
        <v>0.967742</v>
      </c>
      <c r="U45" s="33">
        <v>0.975728</v>
      </c>
      <c r="V45" s="43">
        <v>0.022523</v>
      </c>
      <c r="W45" s="43">
        <v>0</v>
      </c>
      <c r="X45" s="43">
        <v>0.202703</v>
      </c>
      <c r="Y45" s="43" t="s"/>
      <c r="Z45" s="43">
        <v>0.204955</v>
      </c>
      <c r="AA45" s="43">
        <v>0.195946</v>
      </c>
      <c r="AB45" s="43">
        <v>0.027027</v>
      </c>
      <c r="AC45" s="43">
        <v>0.002252</v>
      </c>
      <c r="AD45" s="43">
        <v>0</v>
      </c>
      <c r="AE45" s="43">
        <v>0.006757</v>
      </c>
      <c r="AF45" s="43">
        <v>0.15991</v>
      </c>
      <c r="AG45" s="43">
        <v>0.177928</v>
      </c>
    </row>
    <row r="46" spans="1:33">
      <c r="A46" t="s">
        <v>69</v>
      </c>
      <c r="B46" s="31" t="s">
        <v>67</v>
      </c>
      <c r="C46" s="32" t="s">
        <v>49</v>
      </c>
      <c r="D46" s="43">
        <v>0.495923</v>
      </c>
      <c r="E46" s="43">
        <v>0.464387</v>
      </c>
      <c r="F46" s="43">
        <v>0.334951</v>
      </c>
      <c r="G46" s="43">
        <v>0.749206</v>
      </c>
      <c r="H46" s="43">
        <v>0.489847</v>
      </c>
      <c r="I46" s="43">
        <v>0.530357</v>
      </c>
      <c r="J46" s="43">
        <v>0.488095</v>
      </c>
      <c r="K46" s="43">
        <v>0.490625</v>
      </c>
      <c r="L46" s="43">
        <v>0.4375</v>
      </c>
      <c r="M46" s="33">
        <v>0.40404</v>
      </c>
      <c r="N46" s="33">
        <v>0.121951</v>
      </c>
      <c r="O46" s="33">
        <v>0.175676</v>
      </c>
      <c r="P46" s="33">
        <v>0.2</v>
      </c>
      <c r="Q46" s="33">
        <v>0.257653</v>
      </c>
      <c r="R46" s="33">
        <v>0.243295</v>
      </c>
      <c r="S46" s="33">
        <v>1</v>
      </c>
      <c r="T46" s="33">
        <v>0.76923</v>
      </c>
      <c r="U46" s="33">
        <v>0.977444</v>
      </c>
      <c r="V46" s="43">
        <v>0.532345</v>
      </c>
      <c r="W46" s="43">
        <v>0.004043</v>
      </c>
      <c r="X46" s="43">
        <v>0.101078</v>
      </c>
      <c r="Y46" s="43" t="s"/>
      <c r="Z46" s="43">
        <v>0.140162</v>
      </c>
      <c r="AA46" s="43">
        <v>0.084906</v>
      </c>
      <c r="AB46" s="43">
        <v>0.033693</v>
      </c>
      <c r="AC46" s="43">
        <v>0</v>
      </c>
      <c r="AD46" s="43">
        <v>0.002695</v>
      </c>
      <c r="AE46" s="43">
        <v>0.022911</v>
      </c>
      <c r="AF46" s="43">
        <v>0.02965</v>
      </c>
      <c r="AG46" s="43">
        <v>0.048518</v>
      </c>
    </row>
    <row r="47" spans="1:39">
      <c r="A47" t="s">
        <v>70</v>
      </c>
      <c r="B47" s="31" t="s">
        <v>67</v>
      </c>
      <c r="C47" s="31" t="s">
        <v>49</v>
      </c>
      <c r="D47" s="43">
        <v>0.529211</v>
      </c>
      <c r="E47" s="43">
        <v>0.578347</v>
      </c>
      <c r="F47" s="43">
        <v>0.441747</v>
      </c>
      <c r="G47" s="43">
        <v>0.55238</v>
      </c>
      <c r="H47" s="43">
        <v>0.558375</v>
      </c>
      <c r="I47" s="43">
        <v>0.569642</v>
      </c>
      <c r="J47" s="43">
        <v>0.517857</v>
      </c>
      <c r="K47" s="43">
        <v>0.50625</v>
      </c>
      <c r="L47" s="43">
        <v>0.484375</v>
      </c>
      <c r="M47" s="33">
        <v>0.457912</v>
      </c>
      <c r="N47" s="33">
        <v>0.439024</v>
      </c>
      <c r="O47" s="33">
        <v>0.378378</v>
      </c>
      <c r="P47" s="33">
        <v>0.692308</v>
      </c>
      <c r="Q47" s="33">
        <v>0.637755</v>
      </c>
      <c r="R47" s="33">
        <v>0.651341</v>
      </c>
      <c r="S47" s="33">
        <v>0.433823</v>
      </c>
      <c r="T47" s="33">
        <v>0.285714</v>
      </c>
      <c r="U47" s="33">
        <v>0.408537</v>
      </c>
      <c r="V47" s="43">
        <v>0.378066</v>
      </c>
      <c r="W47" s="43">
        <v>0.001443</v>
      </c>
      <c r="X47" s="43">
        <v>0.15873</v>
      </c>
      <c r="Y47" s="43" t="s"/>
      <c r="Z47" s="43">
        <v>0.193362</v>
      </c>
      <c r="AA47" s="43">
        <v>0.095238</v>
      </c>
      <c r="AB47" s="43">
        <v>0.002886</v>
      </c>
      <c r="AC47" s="43">
        <v>0</v>
      </c>
      <c r="AD47" s="43">
        <v>0.001443</v>
      </c>
      <c r="AE47" s="43">
        <v>0.008658</v>
      </c>
      <c r="AF47" s="43">
        <v>0.089466</v>
      </c>
      <c r="AG47" s="43">
        <v>0.070707</v>
      </c>
      <c r="AH47">
        <v>0.497959</v>
      </c>
      <c r="AI47">
        <v>0.544807</v>
      </c>
      <c r="AJ47">
        <v>0</v>
      </c>
      <c r="AK47">
        <v>0</v>
      </c>
      <c r="AL47">
        <v>0</v>
      </c>
      <c r="AM47">
        <v>0.529212</v>
      </c>
    </row>
    <row r="48" spans="1:39">
      <c r="A48" t="s">
        <v>71</v>
      </c>
      <c r="B48" s="31" t="s">
        <v>67</v>
      </c>
      <c r="C48" s="31" t="s">
        <v>49</v>
      </c>
      <c r="D48" s="43">
        <v>0.503396</v>
      </c>
      <c r="E48" s="43">
        <v>0.555555</v>
      </c>
      <c r="F48" s="43">
        <v>0.427184</v>
      </c>
      <c r="G48" s="43">
        <v>0.549206</v>
      </c>
      <c r="H48" s="43">
        <v>0.5</v>
      </c>
      <c r="I48" s="43">
        <v>0.528571</v>
      </c>
      <c r="J48" s="43">
        <v>0.502976</v>
      </c>
      <c r="K48" s="43">
        <v>0.471875</v>
      </c>
      <c r="L48" s="43">
        <v>0.488281</v>
      </c>
      <c r="M48" s="33">
        <v>0.451178</v>
      </c>
      <c r="N48" s="33">
        <v>0.414634</v>
      </c>
      <c r="O48" s="33">
        <v>0.337838</v>
      </c>
      <c r="P48" s="33">
        <v>0.523077</v>
      </c>
      <c r="Q48" s="33">
        <v>0.512755</v>
      </c>
      <c r="R48" s="33">
        <v>0.515326</v>
      </c>
      <c r="S48" s="33">
        <v>0.910448</v>
      </c>
      <c r="T48" s="33">
        <v>0.88</v>
      </c>
      <c r="U48" s="33">
        <v>0.90566</v>
      </c>
      <c r="V48" s="43">
        <v>0.328317</v>
      </c>
      <c r="W48" s="43">
        <v>0.008208</v>
      </c>
      <c r="X48" s="43">
        <v>0.194254</v>
      </c>
      <c r="Y48" s="43" t="s"/>
      <c r="Z48" s="43">
        <v>0.170999</v>
      </c>
      <c r="AA48" s="43">
        <v>0.105335</v>
      </c>
      <c r="AB48" s="43">
        <v>0.015048</v>
      </c>
      <c r="AC48" s="43">
        <v>0</v>
      </c>
      <c r="AD48" s="43">
        <v>0.002736</v>
      </c>
      <c r="AE48" s="43">
        <v>0.008208</v>
      </c>
      <c r="AF48" s="43">
        <v>0.088919</v>
      </c>
      <c r="AG48" s="43">
        <v>0.077975</v>
      </c>
      <c r="AH48">
        <v>0.440816</v>
      </c>
      <c r="AI48">
        <v>0.534623</v>
      </c>
      <c r="AJ48">
        <v>0</v>
      </c>
      <c r="AK48">
        <v>0</v>
      </c>
      <c r="AL48">
        <v>0</v>
      </c>
      <c r="AM48">
        <v>0.503397</v>
      </c>
    </row>
    <row r="49" spans="1:33">
      <c r="A49" t="s">
        <v>72</v>
      </c>
      <c r="B49" s="31" t="s">
        <v>67</v>
      </c>
      <c r="C49" s="31" t="s">
        <v>44</v>
      </c>
      <c r="D49" s="43">
        <v>0.823369</v>
      </c>
      <c r="E49" s="43">
        <v>0.849002</v>
      </c>
      <c r="F49" s="43">
        <v>0.713592</v>
      </c>
      <c r="G49" s="43">
        <v>0.955555</v>
      </c>
      <c r="H49" s="43">
        <v>0.809644</v>
      </c>
      <c r="I49" s="43">
        <v>0.857142</v>
      </c>
      <c r="J49" s="43">
        <v>0.82738</v>
      </c>
      <c r="K49" s="43">
        <v>0.83125</v>
      </c>
      <c r="L49" s="43">
        <v>0.734375</v>
      </c>
      <c r="M49" s="33">
        <v>0.73064</v>
      </c>
      <c r="N49" s="33">
        <v>0.658537</v>
      </c>
      <c r="O49" s="33">
        <v>0.675676</v>
      </c>
      <c r="P49" s="33">
        <v>0.807692</v>
      </c>
      <c r="Q49" s="33">
        <v>0.818878</v>
      </c>
      <c r="R49" s="33">
        <v>0.816092</v>
      </c>
      <c r="S49" s="33">
        <v>0.958525</v>
      </c>
      <c r="T49" s="33">
        <v>0.96</v>
      </c>
      <c r="U49" s="33">
        <v>0.958801</v>
      </c>
      <c r="V49" s="43">
        <v>0.046154</v>
      </c>
      <c r="W49" s="43">
        <v>0</v>
      </c>
      <c r="X49" s="43">
        <v>0.130769</v>
      </c>
      <c r="Y49" s="43" t="s"/>
      <c r="Z49" s="43">
        <v>0.180769</v>
      </c>
      <c r="AA49" s="43">
        <v>0.265385</v>
      </c>
      <c r="AB49" s="43">
        <v>0.007692</v>
      </c>
      <c r="AC49" s="43">
        <v>0</v>
      </c>
      <c r="AD49" s="43">
        <v>0.011539</v>
      </c>
      <c r="AE49" s="43">
        <v>0.023077</v>
      </c>
      <c r="AF49" s="33">
        <v>0.092308</v>
      </c>
      <c r="AG49" s="43">
        <v>0.242308</v>
      </c>
    </row>
    <row r="50" spans="1:33">
      <c r="A50" t="s">
        <v>73</v>
      </c>
      <c r="B50" s="31" t="s">
        <v>67</v>
      </c>
      <c r="C50" s="31" t="s">
        <v>44</v>
      </c>
      <c r="D50" s="43">
        <v>0.766304</v>
      </c>
      <c r="E50" s="43">
        <v>0.752136</v>
      </c>
      <c r="F50" s="43">
        <v>0.667475</v>
      </c>
      <c r="G50" s="43">
        <v>0.95238</v>
      </c>
      <c r="H50" s="43">
        <v>0.733502</v>
      </c>
      <c r="I50" s="43">
        <v>0.7875</v>
      </c>
      <c r="J50" s="43">
        <v>0.76488</v>
      </c>
      <c r="K50" s="43">
        <v>0.753125</v>
      </c>
      <c r="L50" s="43">
        <v>0.738281</v>
      </c>
      <c r="M50" s="33">
        <v>0.710438</v>
      </c>
      <c r="N50" s="33">
        <v>0.512195</v>
      </c>
      <c r="O50" s="33">
        <v>0.581081</v>
      </c>
      <c r="P50" s="33">
        <v>0.661538</v>
      </c>
      <c r="Q50" s="33">
        <v>0.701531</v>
      </c>
      <c r="R50" s="33">
        <v>0.691571</v>
      </c>
      <c r="S50" s="33">
        <v>0.981043</v>
      </c>
      <c r="T50" s="33">
        <v>0.930232</v>
      </c>
      <c r="U50" s="33">
        <v>0.972441</v>
      </c>
      <c r="V50" s="43">
        <v>0.093023</v>
      </c>
      <c r="W50" s="43">
        <v>0.002907</v>
      </c>
      <c r="X50" s="43">
        <v>0.113372</v>
      </c>
      <c r="Y50" s="43" t="s"/>
      <c r="Z50" s="43">
        <v>0.209302</v>
      </c>
      <c r="AA50" s="43">
        <v>0.255814</v>
      </c>
      <c r="AB50" s="43">
        <v>0.017442</v>
      </c>
      <c r="AC50" s="43">
        <v>0.005814</v>
      </c>
      <c r="AD50" s="43">
        <v>0.023256</v>
      </c>
      <c r="AE50" s="43">
        <v>0.020349</v>
      </c>
      <c r="AF50" s="43">
        <v>0.072674</v>
      </c>
      <c r="AG50" s="43">
        <v>0.186047</v>
      </c>
    </row>
    <row r="51" spans="1:33">
      <c r="A51" s="35" t="s">
        <v>74</v>
      </c>
      <c r="B51" s="31" t="s">
        <v>67</v>
      </c>
      <c r="C51" s="31" t="s">
        <v>44</v>
      </c>
      <c r="D51" s="43">
        <v>0.764266</v>
      </c>
      <c r="E51" s="43">
        <v>0.829059</v>
      </c>
      <c r="F51" s="43">
        <v>0.631067</v>
      </c>
      <c r="G51" s="43">
        <v>0.879365</v>
      </c>
      <c r="H51" s="43">
        <v>0.753807</v>
      </c>
      <c r="I51" s="43">
        <v>0.776785</v>
      </c>
      <c r="J51" s="43">
        <v>0.779761</v>
      </c>
      <c r="K51" s="43">
        <v>0.753125</v>
      </c>
      <c r="L51" s="43">
        <v>0.730468</v>
      </c>
      <c r="M51" s="33">
        <v>0.676768</v>
      </c>
      <c r="N51" s="33">
        <v>0.463415</v>
      </c>
      <c r="O51" s="33">
        <v>0.540541</v>
      </c>
      <c r="P51" s="33">
        <v>0.638461</v>
      </c>
      <c r="Q51" s="33">
        <v>0.663265</v>
      </c>
      <c r="R51" s="33">
        <v>0.657088</v>
      </c>
      <c r="S51" s="33">
        <v>0.985075</v>
      </c>
      <c r="T51" s="33">
        <v>0.975</v>
      </c>
      <c r="U51" s="33">
        <v>0.983402</v>
      </c>
      <c r="V51" s="43">
        <v>0.017291</v>
      </c>
      <c r="W51" s="43">
        <v>0.014409</v>
      </c>
      <c r="X51" s="43">
        <v>0.167147</v>
      </c>
      <c r="Y51" s="43" t="s"/>
      <c r="Z51" s="43">
        <v>0.195965</v>
      </c>
      <c r="AA51" s="43">
        <v>0.29683</v>
      </c>
      <c r="AB51" s="43">
        <v>0.014409</v>
      </c>
      <c r="AC51" s="43">
        <v>0.002882</v>
      </c>
      <c r="AD51" s="43">
        <v>0.020173</v>
      </c>
      <c r="AE51" s="43">
        <v>0.025937</v>
      </c>
      <c r="AF51" s="43">
        <v>0.072046</v>
      </c>
      <c r="AG51" s="43">
        <v>0.172911</v>
      </c>
    </row>
    <row r="52" spans="1:49" s="50">
      <c r="A52" s="49" t="s">
        <v>75</v>
      </c>
      <c r="B52" s="6" t="s"/>
      <c r="C52" s="6" t="s"/>
      <c r="D52" s="6" t="s"/>
      <c r="E52" s="6" t="s"/>
      <c r="F52" s="6" t="s"/>
      <c r="G52" s="6" t="s"/>
      <c r="H52" s="6" t="s"/>
      <c r="I52" s="6" t="s"/>
      <c r="J52" s="6" t="s"/>
      <c r="K52" s="6" t="s"/>
      <c r="L52" s="6" t="s"/>
      <c r="M52" s="6" t="s"/>
      <c r="N52" s="6" t="s"/>
      <c r="O52" s="6" t="s"/>
      <c r="P52" s="6" t="s"/>
      <c r="Q52" s="6" t="s"/>
      <c r="R52" s="6" t="s"/>
      <c r="S52" s="6" t="s"/>
      <c r="T52" s="6" t="s"/>
      <c r="U52" s="6" t="s"/>
      <c r="V52" s="6" t="s"/>
      <c r="W52" s="6" t="s"/>
      <c r="X52" s="6" t="s"/>
      <c r="Y52" s="50" t="s"/>
      <c r="Z52" s="6" t="s"/>
      <c r="AA52" s="6" t="s"/>
      <c r="AB52" s="6" t="s"/>
      <c r="AC52" s="6" t="s"/>
      <c r="AD52" s="6" t="s"/>
      <c r="AE52" s="6" t="s"/>
      <c r="AF52" s="6" t="s"/>
      <c r="AG52" s="6" t="s"/>
      <c r="AH52" s="6" t="s"/>
      <c r="AI52" s="6" t="s"/>
      <c r="AJ52" s="6" t="s"/>
      <c r="AK52" s="6" t="s"/>
      <c r="AL52" s="6" t="s"/>
      <c r="AM52" s="7" t="s"/>
      <c r="AN52" s="47" t="s"/>
      <c r="AO52" s="47" t="s"/>
      <c r="AP52" s="47" t="s"/>
      <c r="AQ52" s="47" t="s"/>
      <c r="AR52" s="47" t="s"/>
      <c r="AS52" s="47" t="s"/>
      <c r="AT52" s="47" t="s"/>
      <c r="AU52" s="47" t="s"/>
      <c r="AV52" s="47" t="s"/>
      <c r="AW52" s="48" t="s"/>
    </row>
    <row r="53" spans="1:33">
      <c r="A53" t="s">
        <v>76</v>
      </c>
      <c r="B53" s="31" t="s">
        <v>75</v>
      </c>
      <c r="C53" s="31" t="s">
        <v>49</v>
      </c>
      <c r="D53" s="43">
        <v>0.54076</v>
      </c>
      <c r="E53" s="43">
        <v>0.42735</v>
      </c>
      <c r="F53" s="43">
        <v>0.354368</v>
      </c>
      <c r="G53" s="43">
        <v>0.933333</v>
      </c>
      <c r="H53" s="43">
        <v>0.522842</v>
      </c>
      <c r="I53" s="43">
        <v>0.573214</v>
      </c>
      <c r="J53" s="43">
        <v>0.550595</v>
      </c>
      <c r="K53" s="43">
        <v>0.553125</v>
      </c>
      <c r="L53" s="43">
        <v>0.441406</v>
      </c>
      <c r="M53" s="33">
        <v>0.451178</v>
      </c>
      <c r="N53" s="33">
        <v>0.073171</v>
      </c>
      <c r="O53" s="33">
        <v>0.121622</v>
      </c>
      <c r="P53" s="33">
        <v>0.184615</v>
      </c>
      <c r="Q53" s="33">
        <v>0.244898</v>
      </c>
      <c r="R53" s="33">
        <v>0.229885</v>
      </c>
      <c r="S53" s="33">
        <v>0.985075</v>
      </c>
      <c r="T53" s="33">
        <v>0.999999</v>
      </c>
      <c r="U53" s="33">
        <v>0.986014</v>
      </c>
      <c r="V53" s="43">
        <v>0.418639</v>
      </c>
      <c r="W53" s="43">
        <v>0</v>
      </c>
      <c r="X53" s="43">
        <v>0.162722</v>
      </c>
      <c r="Y53" s="43" t="s"/>
      <c r="Z53" s="43">
        <v>0.171598</v>
      </c>
      <c r="AA53" s="43">
        <v>0.107988</v>
      </c>
      <c r="AB53" s="43">
        <v>0.031065</v>
      </c>
      <c r="AC53" s="43">
        <v>0</v>
      </c>
      <c r="AD53" s="43">
        <v>0</v>
      </c>
      <c r="AE53" s="43">
        <v>0.001479</v>
      </c>
      <c r="AF53" s="43">
        <v>0.031065</v>
      </c>
      <c r="AG53" s="33">
        <v>0.075444</v>
      </c>
    </row>
    <row r="54" spans="1:33">
      <c r="A54" t="s">
        <v>77</v>
      </c>
      <c r="B54" s="31" t="s">
        <v>75</v>
      </c>
      <c r="C54" s="31" t="s">
        <v>49</v>
      </c>
      <c r="D54" s="43">
        <v>0.273777</v>
      </c>
      <c r="E54" s="43">
        <v>0.196581</v>
      </c>
      <c r="F54" s="43">
        <v>0.043689</v>
      </c>
      <c r="G54" s="43">
        <v>0.879365</v>
      </c>
      <c r="H54" s="43">
        <v>0.098984</v>
      </c>
      <c r="I54" s="43">
        <v>0.2375</v>
      </c>
      <c r="J54" s="43">
        <v>0.330357</v>
      </c>
      <c r="K54" s="43">
        <v>0.2875</v>
      </c>
      <c r="L54" s="43">
        <v>0.261718</v>
      </c>
      <c r="M54" s="43">
        <v>0.057239</v>
      </c>
      <c r="N54" s="33">
        <v>0</v>
      </c>
      <c r="O54" s="33">
        <v>0.013514</v>
      </c>
      <c r="P54" s="33">
        <v>0.084615</v>
      </c>
      <c r="Q54" s="33">
        <v>0.15051</v>
      </c>
      <c r="R54" s="33">
        <v>0.1341</v>
      </c>
      <c r="S54" s="33">
        <v>0.823529</v>
      </c>
      <c r="T54" s="33">
        <v>0.99999</v>
      </c>
      <c r="U54" s="33">
        <v>0.833333</v>
      </c>
      <c r="V54" s="43">
        <v>0.203929</v>
      </c>
      <c r="W54" s="43">
        <v>0.000935</v>
      </c>
      <c r="X54" s="43">
        <v>0.229186</v>
      </c>
      <c r="Y54" s="43" t="s"/>
      <c r="Z54" s="43">
        <v>0.43218</v>
      </c>
      <c r="AA54" s="43">
        <v>0.073901</v>
      </c>
      <c r="AB54" s="43">
        <v>0.033676</v>
      </c>
      <c r="AC54" s="43">
        <v>0.000935</v>
      </c>
      <c r="AD54" s="43">
        <v>0.000935</v>
      </c>
      <c r="AE54" s="43">
        <v>0.000935</v>
      </c>
      <c r="AF54" s="43">
        <v>0.014967</v>
      </c>
      <c r="AG54" s="43">
        <v>0.008419</v>
      </c>
    </row>
    <row r="55" spans="1:33">
      <c r="A55" t="s">
        <v>78</v>
      </c>
      <c r="B55" s="31" t="s">
        <v>75</v>
      </c>
      <c r="C55" s="31" t="s">
        <v>49</v>
      </c>
      <c r="D55" s="43">
        <v>0.255434</v>
      </c>
      <c r="E55" s="43">
        <v>0.074074</v>
      </c>
      <c r="F55" s="43">
        <v>0.041262</v>
      </c>
      <c r="G55" s="43">
        <v>0.942857</v>
      </c>
      <c r="H55" s="43">
        <v>0.09137</v>
      </c>
      <c r="I55" s="43">
        <v>0.208928</v>
      </c>
      <c r="J55" s="43">
        <v>0.291666</v>
      </c>
      <c r="K55" s="43">
        <v>0.26875</v>
      </c>
      <c r="L55" s="33">
        <v>0.292968</v>
      </c>
      <c r="M55" s="33">
        <v>0.057239</v>
      </c>
      <c r="N55" s="33">
        <v>0</v>
      </c>
      <c r="O55" s="33">
        <v>0</v>
      </c>
      <c r="P55" s="33">
        <v>0.069231</v>
      </c>
      <c r="Q55" s="33">
        <v>0.048469</v>
      </c>
      <c r="R55" s="33">
        <v>0.05364</v>
      </c>
      <c r="S55" s="33">
        <v>0.882352</v>
      </c>
      <c r="T55" s="33">
        <v>0</v>
      </c>
      <c r="U55" s="33">
        <v>0.882352</v>
      </c>
      <c r="V55" s="43">
        <v>0.218066</v>
      </c>
      <c r="W55" s="43">
        <v>0.002737</v>
      </c>
      <c r="X55" s="43">
        <v>0.140511</v>
      </c>
      <c r="Y55" s="43" t="s"/>
      <c r="Z55" s="43">
        <v>0.548358</v>
      </c>
      <c r="AA55" s="43">
        <v>0.052007</v>
      </c>
      <c r="AB55" s="43">
        <v>0.032847</v>
      </c>
      <c r="AC55" s="43">
        <v>0</v>
      </c>
      <c r="AD55" s="43">
        <v>0</v>
      </c>
      <c r="AE55" s="43">
        <v>0</v>
      </c>
      <c r="AF55" s="43">
        <v>0.002737</v>
      </c>
      <c r="AG55" s="43">
        <v>0.002737</v>
      </c>
    </row>
    <row r="56" spans="1:39">
      <c r="A56" t="s">
        <v>79</v>
      </c>
      <c r="B56" s="31" t="s">
        <v>75</v>
      </c>
      <c r="C56" s="31" t="s">
        <v>49</v>
      </c>
      <c r="D56" s="43">
        <v>0.487771</v>
      </c>
      <c r="E56" s="43">
        <v>0.367521</v>
      </c>
      <c r="F56" s="43">
        <v>0.245145</v>
      </c>
      <c r="G56" s="43">
        <v>0.946031</v>
      </c>
      <c r="H56" s="43">
        <v>0.482233</v>
      </c>
      <c r="I56" s="43">
        <v>0.555357</v>
      </c>
      <c r="J56" s="43">
        <v>0.491071</v>
      </c>
      <c r="K56" s="43">
        <v>0.46875</v>
      </c>
      <c r="L56" s="33">
        <v>0.359375</v>
      </c>
      <c r="M56" s="33">
        <v>0.340067</v>
      </c>
      <c r="N56" s="33">
        <v>0</v>
      </c>
      <c r="O56" s="33">
        <v>0</v>
      </c>
      <c r="P56" s="33">
        <v>0.2</v>
      </c>
      <c r="Q56" s="33">
        <v>0.145408</v>
      </c>
      <c r="R56" s="33">
        <v>0.159004</v>
      </c>
      <c r="S56" s="33">
        <v>0.990099</v>
      </c>
      <c r="T56" s="33">
        <v>0</v>
      </c>
      <c r="U56" s="33">
        <v>0.990099</v>
      </c>
      <c r="V56" s="43">
        <v>0.450928</v>
      </c>
      <c r="W56" s="43">
        <v>0</v>
      </c>
      <c r="X56" s="43">
        <v>0.11008</v>
      </c>
      <c r="Y56" s="43" t="s"/>
      <c r="Z56" s="43">
        <v>0.202918</v>
      </c>
      <c r="AA56" s="43">
        <v>0.148541</v>
      </c>
      <c r="AB56" s="43">
        <v>0.007958</v>
      </c>
      <c r="AC56" s="43">
        <v>0</v>
      </c>
      <c r="AD56" s="43">
        <v>0.001326</v>
      </c>
      <c r="AE56" s="43">
        <v>0.002653</v>
      </c>
      <c r="AF56" s="43">
        <v>0.026525</v>
      </c>
      <c r="AG56" s="43">
        <v>0.049072</v>
      </c>
      <c r="AH56">
        <v>0.397959</v>
      </c>
      <c r="AI56">
        <v>0.532587</v>
      </c>
      <c r="AJ56">
        <v>0</v>
      </c>
      <c r="AK56">
        <v>0</v>
      </c>
      <c r="AL56">
        <v>0</v>
      </c>
      <c r="AM56">
        <v>0.487772</v>
      </c>
    </row>
    <row r="57" spans="1:39">
      <c r="A57" s="51" t="s">
        <v>80</v>
      </c>
      <c r="B57" s="31" t="s">
        <v>75</v>
      </c>
      <c r="C57" s="31" t="s">
        <v>49</v>
      </c>
      <c r="D57" s="43">
        <v>0.491847</v>
      </c>
      <c r="E57" s="43">
        <v>0.361823</v>
      </c>
      <c r="F57" s="43">
        <v>0.28398</v>
      </c>
      <c r="G57" s="43">
        <v>0.987301</v>
      </c>
      <c r="H57" s="43">
        <v>0.428934</v>
      </c>
      <c r="I57" s="43">
        <v>0.485714</v>
      </c>
      <c r="J57" s="43">
        <v>0.494047</v>
      </c>
      <c r="K57" s="43">
        <v>0.490625</v>
      </c>
      <c r="L57" s="33">
        <v>0.503906</v>
      </c>
      <c r="M57" s="33">
        <v>0.3367</v>
      </c>
      <c r="N57" s="33">
        <v>0.195122</v>
      </c>
      <c r="O57" s="33">
        <v>0.121622</v>
      </c>
      <c r="P57" s="33">
        <v>0.353846</v>
      </c>
      <c r="Q57" s="33">
        <v>0.211735</v>
      </c>
      <c r="R57" s="33">
        <v>0.247126</v>
      </c>
      <c r="S57" s="33">
        <v>0.94</v>
      </c>
      <c r="T57" s="33">
        <v>0.888888</v>
      </c>
      <c r="U57" s="33">
        <v>0.93578</v>
      </c>
      <c r="V57" s="43">
        <v>0.479947</v>
      </c>
      <c r="W57" s="43">
        <v>0</v>
      </c>
      <c r="X57" s="43">
        <v>0.108289</v>
      </c>
      <c r="Y57" s="43" t="s"/>
      <c r="Z57" s="43">
        <v>0.159091</v>
      </c>
      <c r="AA57" s="43">
        <v>0.102941</v>
      </c>
      <c r="AB57" s="43">
        <v>0.009358</v>
      </c>
      <c r="AC57" s="43">
        <v>0.085562</v>
      </c>
      <c r="AD57" s="43">
        <v>0.016043</v>
      </c>
      <c r="AE57" s="43">
        <v>0.002674</v>
      </c>
      <c r="AF57" s="43">
        <v>0.002674</v>
      </c>
      <c r="AG57" s="43">
        <v>0.033423</v>
      </c>
      <c r="AH57">
        <v>0.438776</v>
      </c>
      <c r="AI57">
        <v>0.51833</v>
      </c>
      <c r="AJ57">
        <v>0</v>
      </c>
      <c r="AK57">
        <v>0</v>
      </c>
      <c r="AL57">
        <v>0</v>
      </c>
      <c r="AM57">
        <v>0.491848</v>
      </c>
    </row>
    <row r="58" spans="1:39">
      <c r="A58" s="51" t="s">
        <v>81</v>
      </c>
      <c r="B58" s="31" t="s">
        <v>75</v>
      </c>
      <c r="C58" s="31" t="s">
        <v>49</v>
      </c>
      <c r="D58" s="43">
        <v>0.321331</v>
      </c>
      <c r="E58" s="43">
        <v>0.131054</v>
      </c>
      <c r="F58" s="43">
        <v>0.116504</v>
      </c>
      <c r="G58" s="43">
        <v>0.984126</v>
      </c>
      <c r="H58" s="43">
        <v>0.175126</v>
      </c>
      <c r="I58" s="43">
        <v>0.275</v>
      </c>
      <c r="J58" s="43">
        <v>0.32738</v>
      </c>
      <c r="K58" s="43">
        <v>0.3625</v>
      </c>
      <c r="L58" s="33">
        <v>0.363281</v>
      </c>
      <c r="M58" s="33">
        <v>0.13468</v>
      </c>
      <c r="N58" s="33">
        <v>0.146341</v>
      </c>
      <c r="O58" s="33">
        <v>0.027027</v>
      </c>
      <c r="P58" s="33">
        <v>0.2</v>
      </c>
      <c r="Q58" s="33">
        <v>0.068878</v>
      </c>
      <c r="R58" s="33">
        <v>0.101533</v>
      </c>
      <c r="S58" s="33">
        <v>0.9</v>
      </c>
      <c r="T58" s="33">
        <v>0.999995</v>
      </c>
      <c r="U58" s="33">
        <v>0.904762</v>
      </c>
      <c r="V58" s="43">
        <v>0.595596</v>
      </c>
      <c r="W58" s="43">
        <v>0.001001</v>
      </c>
      <c r="X58" s="43">
        <v>0.04004</v>
      </c>
      <c r="Y58" s="43" t="s"/>
      <c r="Z58" s="43">
        <v>0.307307</v>
      </c>
      <c r="AA58" s="43">
        <v>0.026026</v>
      </c>
      <c r="AB58" s="43">
        <v>0.003003</v>
      </c>
      <c r="AC58" s="43">
        <v>0.007007</v>
      </c>
      <c r="AD58" s="43">
        <v>0</v>
      </c>
      <c r="AE58" s="43">
        <v>0.001001</v>
      </c>
      <c r="AF58" s="43">
        <v>0.001001</v>
      </c>
      <c r="AG58" s="43">
        <v>0.018018</v>
      </c>
      <c r="AH58">
        <v>0.328571</v>
      </c>
      <c r="AI58">
        <v>0.317719</v>
      </c>
      <c r="AJ58">
        <v>0</v>
      </c>
      <c r="AK58">
        <v>0</v>
      </c>
      <c r="AL58">
        <v>0</v>
      </c>
      <c r="AM58">
        <v>0.321332</v>
      </c>
    </row>
    <row r="59" spans="1:39">
      <c r="A59" s="51" t="s">
        <v>82</v>
      </c>
      <c r="B59" s="31" t="s">
        <v>75</v>
      </c>
      <c r="C59" s="31" t="s">
        <v>49</v>
      </c>
      <c r="D59" s="43">
        <v>0.239809</v>
      </c>
      <c r="E59" s="43">
        <v>0.094017</v>
      </c>
      <c r="F59" s="43">
        <v>0.026699</v>
      </c>
      <c r="G59" s="43">
        <v>0.961904</v>
      </c>
      <c r="H59" s="43">
        <v>0.015228</v>
      </c>
      <c r="I59" s="43">
        <v>0.178571</v>
      </c>
      <c r="J59" s="43">
        <v>0.276785</v>
      </c>
      <c r="K59" s="43">
        <v>0.284375</v>
      </c>
      <c r="L59" s="33">
        <v>0.269531</v>
      </c>
      <c r="M59" s="33">
        <v>0.037037</v>
      </c>
      <c r="N59" s="33">
        <v>0</v>
      </c>
      <c r="O59" s="33">
        <v>0</v>
      </c>
      <c r="P59" s="33">
        <v>0.038462</v>
      </c>
      <c r="Q59" s="33">
        <v>0.010204</v>
      </c>
      <c r="R59" s="33">
        <v>0.017241</v>
      </c>
      <c r="S59" s="33">
        <v>0.999999</v>
      </c>
      <c r="T59" s="33">
        <v>0</v>
      </c>
      <c r="U59" s="33">
        <v>0.999999</v>
      </c>
      <c r="V59" s="43">
        <v>0.619303</v>
      </c>
      <c r="W59" s="43">
        <v>0.000894</v>
      </c>
      <c r="X59" s="43">
        <v>0.030384</v>
      </c>
      <c r="Y59" s="43" t="s"/>
      <c r="Z59" s="43">
        <v>0.33244</v>
      </c>
      <c r="AA59" s="43">
        <v>0.007149</v>
      </c>
      <c r="AB59" s="43">
        <v>0</v>
      </c>
      <c r="AC59" s="43">
        <v>0.003575</v>
      </c>
      <c r="AD59" s="43">
        <v>0</v>
      </c>
      <c r="AE59" s="43">
        <v>0</v>
      </c>
      <c r="AF59" s="43">
        <v>0</v>
      </c>
      <c r="AG59" s="43">
        <v>0.006256</v>
      </c>
      <c r="AH59">
        <v>0.285714</v>
      </c>
      <c r="AI59">
        <v>0.216904</v>
      </c>
      <c r="AJ59">
        <v>0</v>
      </c>
      <c r="AK59">
        <v>0</v>
      </c>
      <c r="AL59">
        <v>0</v>
      </c>
      <c r="AM59">
        <v>0.23981</v>
      </c>
    </row>
    <row r="60" spans="1:39">
      <c r="A60" s="51" t="s">
        <v>83</v>
      </c>
      <c r="B60" s="31" t="s">
        <v>75</v>
      </c>
      <c r="C60" s="31" t="s">
        <v>49</v>
      </c>
      <c r="D60" s="43">
        <v>0.219429</v>
      </c>
      <c r="E60" s="43">
        <v>0.019943</v>
      </c>
      <c r="F60" s="43">
        <v>0.009708</v>
      </c>
      <c r="G60" s="43">
        <v>0.961904</v>
      </c>
      <c r="H60" s="43">
        <v>0.022842</v>
      </c>
      <c r="I60" s="43">
        <v>0.1625</v>
      </c>
      <c r="J60" s="43">
        <v>0.255952</v>
      </c>
      <c r="K60" s="43">
        <v>0.259375</v>
      </c>
      <c r="L60" s="33">
        <v>0.246093</v>
      </c>
      <c r="M60" s="33">
        <v>0.013468</v>
      </c>
      <c r="N60" s="33">
        <v>0</v>
      </c>
      <c r="O60" s="33">
        <v>0</v>
      </c>
      <c r="P60" s="33">
        <v>0.2</v>
      </c>
      <c r="Q60" s="33">
        <v>0.022959</v>
      </c>
      <c r="R60" s="33">
        <v>0.06705</v>
      </c>
      <c r="S60" s="33">
        <v>0.999998</v>
      </c>
      <c r="T60" s="33">
        <v>0</v>
      </c>
      <c r="U60" s="33">
        <v>0.999998</v>
      </c>
      <c r="V60" s="43">
        <v>0.403829</v>
      </c>
      <c r="W60" s="43">
        <v>0.003481</v>
      </c>
      <c r="X60" s="43">
        <v>0.068755</v>
      </c>
      <c r="Y60" s="43" t="s"/>
      <c r="Z60" s="43">
        <v>0.363795</v>
      </c>
      <c r="AA60" s="43">
        <v>0.074848</v>
      </c>
      <c r="AB60" s="43">
        <v>0.004352</v>
      </c>
      <c r="AC60" s="43">
        <v>0.073107</v>
      </c>
      <c r="AD60" s="43">
        <v>0.005222</v>
      </c>
      <c r="AE60" s="43">
        <v>0.00087</v>
      </c>
      <c r="AF60" s="43">
        <v>0.00087</v>
      </c>
      <c r="AG60" s="43">
        <v>0.00087</v>
      </c>
      <c r="AH60">
        <v>0.232653</v>
      </c>
      <c r="AI60">
        <v>0.212831</v>
      </c>
      <c r="AJ60">
        <v>0</v>
      </c>
      <c r="AK60">
        <v>0</v>
      </c>
      <c r="AL60">
        <v>0</v>
      </c>
      <c r="AM60">
        <v>0.219429</v>
      </c>
    </row>
    <row r="61" spans="1:49" s="50">
      <c r="A61" s="49" t="s">
        <v>84</v>
      </c>
      <c r="B61" s="6" t="s"/>
      <c r="C61" s="6" t="s"/>
      <c r="D61" s="6" t="s"/>
      <c r="E61" s="6" t="s"/>
      <c r="F61" s="6" t="s"/>
      <c r="G61" s="6" t="s"/>
      <c r="H61" s="6" t="s"/>
      <c r="I61" s="6" t="s"/>
      <c r="J61" s="6" t="s"/>
      <c r="K61" s="6" t="s"/>
      <c r="L61" s="6" t="s"/>
      <c r="M61" s="6" t="s"/>
      <c r="N61" s="6" t="s"/>
      <c r="O61" s="6" t="s"/>
      <c r="P61" s="6" t="s"/>
      <c r="Q61" s="6" t="s"/>
      <c r="R61" s="6" t="s"/>
      <c r="S61" s="6" t="s"/>
      <c r="T61" s="6" t="s"/>
      <c r="U61" s="6" t="s"/>
      <c r="V61" s="6" t="s"/>
      <c r="W61" s="6" t="s"/>
      <c r="X61" s="6" t="s"/>
      <c r="Y61" s="50" t="s"/>
      <c r="Z61" s="6" t="s"/>
      <c r="AA61" s="6" t="s"/>
      <c r="AB61" s="6" t="s"/>
      <c r="AC61" s="6" t="s"/>
      <c r="AD61" s="6" t="s"/>
      <c r="AE61" s="6" t="s"/>
      <c r="AF61" s="6" t="s"/>
      <c r="AG61" s="6" t="s"/>
      <c r="AH61" s="6" t="s"/>
      <c r="AI61" s="6" t="s"/>
      <c r="AJ61" s="6" t="s"/>
      <c r="AK61" s="6" t="s"/>
      <c r="AL61" s="6" t="s"/>
      <c r="AM61" s="7" t="s"/>
      <c r="AN61" s="47" t="s"/>
      <c r="AO61" s="47" t="s"/>
      <c r="AP61" s="47" t="s"/>
      <c r="AQ61" s="47" t="s"/>
      <c r="AR61" s="47" t="s"/>
      <c r="AS61" s="47" t="s"/>
      <c r="AT61" s="47" t="s"/>
      <c r="AU61" s="47" t="s"/>
      <c r="AV61" s="47" t="s"/>
      <c r="AW61" s="48" t="s"/>
    </row>
    <row r="62" spans="1:33">
      <c r="A62" t="s">
        <v>85</v>
      </c>
      <c r="B62" s="31" t="s">
        <v>84</v>
      </c>
      <c r="C62" s="31" t="s">
        <v>49</v>
      </c>
      <c r="D62" s="43">
        <v>0.172554</v>
      </c>
      <c r="E62" s="43">
        <v>0.404558</v>
      </c>
      <c r="F62" s="43">
        <v>0.031553</v>
      </c>
      <c r="G62" s="43">
        <v>0.314285</v>
      </c>
      <c r="H62" s="43">
        <v>0</v>
      </c>
      <c r="I62" s="43">
        <v>0.176785</v>
      </c>
      <c r="J62" s="43">
        <v>0.181547</v>
      </c>
      <c r="K62" s="43">
        <v>0.165625</v>
      </c>
      <c r="L62" s="43">
        <v>0.160156</v>
      </c>
      <c r="M62" s="43">
        <v>0.043771</v>
      </c>
      <c r="N62" s="33">
        <v>0</v>
      </c>
      <c r="O62" s="33">
        <v>0</v>
      </c>
      <c r="P62" s="33">
        <v>0.292308</v>
      </c>
      <c r="Q62" s="33">
        <v>0.112245</v>
      </c>
      <c r="R62" s="33">
        <v>0.157088</v>
      </c>
      <c r="S62" s="33">
        <v>0</v>
      </c>
      <c r="T62" s="33">
        <v>0</v>
      </c>
      <c r="U62" s="33">
        <v>0</v>
      </c>
      <c r="V62" s="43">
        <v>0.046798</v>
      </c>
      <c r="W62" s="43">
        <v>0.006568</v>
      </c>
      <c r="X62" s="43">
        <v>0.265189</v>
      </c>
      <c r="Y62" s="43" t="s"/>
      <c r="Z62" s="43">
        <v>0.30624</v>
      </c>
      <c r="AA62" s="43">
        <v>0.223317</v>
      </c>
      <c r="AB62" s="43">
        <v>0.004105</v>
      </c>
      <c r="AC62" s="43">
        <v>0</v>
      </c>
      <c r="AD62" s="43">
        <v>0</v>
      </c>
      <c r="AE62" s="43">
        <v>0.091954</v>
      </c>
      <c r="AF62" s="43">
        <v>0.042693</v>
      </c>
      <c r="AG62" s="43">
        <v>0.013136</v>
      </c>
    </row>
    <row r="63" spans="1:33">
      <c r="A63" t="s">
        <v>86</v>
      </c>
      <c r="B63" s="31" t="s">
        <v>84</v>
      </c>
      <c r="C63" s="31" t="s">
        <v>49</v>
      </c>
      <c r="D63" s="43">
        <v>0.205842</v>
      </c>
      <c r="E63" s="43">
        <v>0</v>
      </c>
      <c r="F63" s="43">
        <v>0</v>
      </c>
      <c r="G63" s="43">
        <v>0.961904</v>
      </c>
      <c r="H63" s="43">
        <v>0</v>
      </c>
      <c r="I63" s="43">
        <v>0.148214</v>
      </c>
      <c r="J63" s="43">
        <v>0.244047</v>
      </c>
      <c r="K63" s="43">
        <v>0.240625</v>
      </c>
      <c r="L63" s="43">
        <v>0.238281</v>
      </c>
      <c r="M63" s="43">
        <v>0</v>
      </c>
      <c r="N63" s="33">
        <v>0</v>
      </c>
      <c r="O63" s="33">
        <v>0</v>
      </c>
      <c r="P63" s="33">
        <v>0.023077</v>
      </c>
      <c r="Q63" s="33">
        <v>0.010204</v>
      </c>
      <c r="R63" s="33">
        <v>0.01341</v>
      </c>
      <c r="S63" s="33">
        <v>0</v>
      </c>
      <c r="T63" s="33">
        <v>0</v>
      </c>
      <c r="U63" s="33">
        <v>0</v>
      </c>
      <c r="V63" s="43">
        <v>0.651839</v>
      </c>
      <c r="W63" s="43">
        <v>0</v>
      </c>
      <c r="X63" s="43">
        <v>0</v>
      </c>
      <c r="Y63" s="43" t="s"/>
      <c r="Z63" s="43">
        <v>0.348161</v>
      </c>
      <c r="AA63" s="43">
        <v>0</v>
      </c>
      <c r="AB63" s="43">
        <v>0</v>
      </c>
      <c r="AC63" s="43">
        <v>0</v>
      </c>
      <c r="AD63" s="43">
        <v>0</v>
      </c>
      <c r="AE63" s="43">
        <v>0</v>
      </c>
      <c r="AF63" s="43">
        <v>0</v>
      </c>
      <c r="AG63" s="43">
        <v>0</v>
      </c>
    </row>
    <row r="64" spans="1:33">
      <c r="A64" t="s">
        <v>87</v>
      </c>
      <c r="B64" s="31" t="s">
        <v>84</v>
      </c>
      <c r="C64" s="31" t="s">
        <v>49</v>
      </c>
      <c r="D64" s="43">
        <v>0.209239</v>
      </c>
      <c r="E64" s="43">
        <v>0</v>
      </c>
      <c r="F64" s="43">
        <v>0</v>
      </c>
      <c r="G64" s="43">
        <v>0.974603</v>
      </c>
      <c r="H64" s="43">
        <v>0.002538</v>
      </c>
      <c r="I64" s="43">
        <v>0.148214</v>
      </c>
      <c r="J64" s="43">
        <v>0.247023</v>
      </c>
      <c r="K64" s="43">
        <v>0.246875</v>
      </c>
      <c r="L64" s="43">
        <v>0.246093</v>
      </c>
      <c r="M64" s="43">
        <v>0</v>
      </c>
      <c r="N64" s="33">
        <v>0</v>
      </c>
      <c r="O64" s="33">
        <v>0</v>
      </c>
      <c r="P64" s="33">
        <v>0.023077</v>
      </c>
      <c r="Q64" s="33">
        <v>0.007653</v>
      </c>
      <c r="R64" s="33">
        <v>0.011494</v>
      </c>
      <c r="S64" s="33">
        <v>0</v>
      </c>
      <c r="T64" s="33">
        <v>0</v>
      </c>
      <c r="U64" s="33">
        <v>0</v>
      </c>
      <c r="V64" s="43">
        <v>0.656357</v>
      </c>
      <c r="W64" s="43">
        <v>0</v>
      </c>
      <c r="X64" s="43">
        <v>0</v>
      </c>
      <c r="Y64" s="43" t="s"/>
      <c r="Z64" s="43">
        <v>0.343643</v>
      </c>
      <c r="AA64" s="43">
        <v>0</v>
      </c>
      <c r="AB64" s="43">
        <v>0</v>
      </c>
      <c r="AC64" s="43">
        <v>0</v>
      </c>
      <c r="AD64" s="43">
        <v>0</v>
      </c>
      <c r="AE64" s="43">
        <v>0</v>
      </c>
      <c r="AF64" s="43">
        <v>0</v>
      </c>
      <c r="AG64" s="43">
        <v>0</v>
      </c>
    </row>
    <row r="65" spans="1:33">
      <c r="A65" t="s">
        <v>88</v>
      </c>
      <c r="B65" s="31" t="s">
        <v>84</v>
      </c>
      <c r="C65" s="31" t="s">
        <v>49</v>
      </c>
      <c r="D65" s="43">
        <v>0.178668</v>
      </c>
      <c r="E65" s="43">
        <v>0</v>
      </c>
      <c r="F65" s="43">
        <v>0</v>
      </c>
      <c r="G65" s="43">
        <v>0.831746</v>
      </c>
      <c r="H65" s="43">
        <v>0.002538</v>
      </c>
      <c r="I65" s="43">
        <v>0.107142</v>
      </c>
      <c r="J65" s="43">
        <v>0.196428</v>
      </c>
      <c r="K65" s="43">
        <v>0.234375</v>
      </c>
      <c r="L65" s="43">
        <v>0.242187</v>
      </c>
      <c r="M65" s="43">
        <v>0</v>
      </c>
      <c r="N65" s="33">
        <v>0</v>
      </c>
      <c r="O65" s="33">
        <v>0</v>
      </c>
      <c r="P65" s="33">
        <v>0.015385</v>
      </c>
      <c r="Q65" s="33">
        <v>0.012755</v>
      </c>
      <c r="R65" s="33">
        <v>0.01341</v>
      </c>
      <c r="S65" s="33">
        <v>0</v>
      </c>
      <c r="T65" s="33">
        <v>0</v>
      </c>
      <c r="U65" s="33">
        <v>0</v>
      </c>
      <c r="V65" s="43">
        <v>0.742763</v>
      </c>
      <c r="W65" s="43">
        <v>0.002481</v>
      </c>
      <c r="X65" s="43">
        <v>0.003309</v>
      </c>
      <c r="Y65" s="43" t="s"/>
      <c r="Z65" s="43">
        <v>0.249793</v>
      </c>
      <c r="AA65" s="43">
        <v>0</v>
      </c>
      <c r="AB65" s="43">
        <v>0</v>
      </c>
      <c r="AC65" s="43">
        <v>0.000827</v>
      </c>
      <c r="AD65" s="43">
        <v>0</v>
      </c>
      <c r="AE65" s="43">
        <v>0</v>
      </c>
      <c r="AF65" s="43">
        <v>0.000827</v>
      </c>
      <c r="AG65" s="43">
        <v>0</v>
      </c>
    </row>
    <row r="66" spans="1:33">
      <c r="A66" t="s">
        <v>89</v>
      </c>
      <c r="B66" s="31" t="s">
        <v>84</v>
      </c>
      <c r="C66" s="31" t="s">
        <v>49</v>
      </c>
      <c r="D66" s="43">
        <v>0.597146</v>
      </c>
      <c r="E66" s="43">
        <v>0.641025</v>
      </c>
      <c r="F66" s="43">
        <v>0.434466</v>
      </c>
      <c r="G66" s="43">
        <v>0.888888</v>
      </c>
      <c r="H66" s="43">
        <v>0.494923</v>
      </c>
      <c r="I66" s="43">
        <v>0.641071</v>
      </c>
      <c r="J66" s="43">
        <v>0.553571</v>
      </c>
      <c r="K66" s="43">
        <v>0.609375</v>
      </c>
      <c r="L66" s="43">
        <v>0.542968</v>
      </c>
      <c r="M66" s="33">
        <v>0.531987</v>
      </c>
      <c r="N66" s="33">
        <v>0.195122</v>
      </c>
      <c r="O66" s="33">
        <v>0.175676</v>
      </c>
      <c r="P66" s="33">
        <v>0.330769</v>
      </c>
      <c r="Q66" s="33">
        <v>0.288265</v>
      </c>
      <c r="R66" s="33">
        <v>0.298851</v>
      </c>
      <c r="S66" s="33">
        <v>0.974683</v>
      </c>
      <c r="T66" s="33">
        <v>0.923076</v>
      </c>
      <c r="U66" s="33">
        <v>0.97076</v>
      </c>
      <c r="V66" s="43">
        <v>0.131535</v>
      </c>
      <c r="W66" s="43">
        <v>0.003373</v>
      </c>
      <c r="X66" s="43">
        <v>0.283305</v>
      </c>
      <c r="Y66" s="43" t="s"/>
      <c r="Z66" s="43">
        <v>0.155143</v>
      </c>
      <c r="AA66" s="43">
        <v>0.148398</v>
      </c>
      <c r="AB66" s="43">
        <v>0.057336</v>
      </c>
      <c r="AC66" s="43">
        <v>0</v>
      </c>
      <c r="AD66" s="43">
        <v>0.005059</v>
      </c>
      <c r="AE66" s="43">
        <v>0.008432</v>
      </c>
      <c r="AF66" s="43">
        <v>0.131535</v>
      </c>
      <c r="AG66" s="43">
        <v>0.075885</v>
      </c>
    </row>
    <row r="67" spans="1:33">
      <c r="A67" t="s">
        <v>90</v>
      </c>
      <c r="B67" s="31" t="s">
        <v>84</v>
      </c>
      <c r="C67" s="32" t="s">
        <v>49</v>
      </c>
      <c r="D67" s="43">
        <v>0.61413</v>
      </c>
      <c r="E67" s="43">
        <v>0.709401</v>
      </c>
      <c r="F67" s="43">
        <v>0.427184</v>
      </c>
      <c r="G67" s="43">
        <v>0.83492</v>
      </c>
      <c r="H67" s="43">
        <v>0.548223</v>
      </c>
      <c r="I67" s="43">
        <v>0.644642</v>
      </c>
      <c r="J67" s="43">
        <v>0.595238</v>
      </c>
      <c r="K67" s="43">
        <v>0.628125</v>
      </c>
      <c r="L67" s="43">
        <v>0.554687</v>
      </c>
      <c r="M67" s="43">
        <v>0.56229</v>
      </c>
      <c r="N67" s="33">
        <v>0.097561</v>
      </c>
      <c r="O67" s="33">
        <v>0.067568</v>
      </c>
      <c r="P67" s="33">
        <v>0.246154</v>
      </c>
      <c r="Q67" s="33">
        <v>0.15051</v>
      </c>
      <c r="R67" s="33">
        <v>0.174329</v>
      </c>
      <c r="S67" s="33">
        <v>1</v>
      </c>
      <c r="T67" s="33">
        <v>0.399999</v>
      </c>
      <c r="U67" s="33">
        <v>0.982558</v>
      </c>
      <c r="V67" s="43">
        <v>0.042254</v>
      </c>
      <c r="W67" s="43">
        <v>0.003521</v>
      </c>
      <c r="X67" s="43">
        <v>0.297535</v>
      </c>
      <c r="Y67" s="43" t="s"/>
      <c r="Z67" s="43">
        <v>0.167254</v>
      </c>
      <c r="AA67" s="43">
        <v>0.183099</v>
      </c>
      <c r="AB67" s="43">
        <v>0.072183</v>
      </c>
      <c r="AC67" s="43">
        <v>0</v>
      </c>
      <c r="AD67" s="43">
        <v>0.008803</v>
      </c>
      <c r="AE67" s="43">
        <v>0.008803</v>
      </c>
      <c r="AF67" s="43">
        <v>0.121479</v>
      </c>
      <c r="AG67" s="43">
        <v>0.09507</v>
      </c>
    </row>
    <row r="68" spans="1:33">
      <c r="A68" t="s">
        <v>91</v>
      </c>
      <c r="B68" s="31" t="s">
        <v>84</v>
      </c>
      <c r="C68" s="32" t="s">
        <v>49</v>
      </c>
      <c r="D68" s="43">
        <v>0.571331</v>
      </c>
      <c r="E68" s="43">
        <v>0.592592</v>
      </c>
      <c r="F68" s="43">
        <v>0.368932</v>
      </c>
      <c r="G68" s="43">
        <v>0.907936</v>
      </c>
      <c r="H68" s="43">
        <v>0.494923</v>
      </c>
      <c r="I68" s="43">
        <v>0.6</v>
      </c>
      <c r="J68" s="43">
        <v>0.553571</v>
      </c>
      <c r="K68" s="43">
        <v>0.584375</v>
      </c>
      <c r="L68" s="43">
        <v>0.515625</v>
      </c>
      <c r="M68" s="43">
        <v>0.461279</v>
      </c>
      <c r="N68" s="33">
        <v>0.195122</v>
      </c>
      <c r="O68" s="33">
        <v>0.094595</v>
      </c>
      <c r="P68" s="33">
        <v>0.284615</v>
      </c>
      <c r="Q68" s="33">
        <v>0.155612</v>
      </c>
      <c r="R68" s="33">
        <v>0.187739</v>
      </c>
      <c r="S68" s="33">
        <v>0.934307</v>
      </c>
      <c r="T68" s="33">
        <v>0.999999</v>
      </c>
      <c r="U68" s="33">
        <v>0.9375</v>
      </c>
      <c r="V68" s="43">
        <v>0.164818</v>
      </c>
      <c r="W68" s="43">
        <v>0</v>
      </c>
      <c r="X68" s="43">
        <v>0.248811</v>
      </c>
      <c r="Y68" s="43" t="s"/>
      <c r="Z68" s="43">
        <v>0.194929</v>
      </c>
      <c r="AA68" s="43">
        <v>0.160063</v>
      </c>
      <c r="AB68" s="43">
        <v>0.053883</v>
      </c>
      <c r="AC68" s="43">
        <v>0</v>
      </c>
      <c r="AD68" s="43">
        <v>0.00317</v>
      </c>
      <c r="AE68" s="43">
        <v>0.004754</v>
      </c>
      <c r="AF68" s="43">
        <v>0.083994</v>
      </c>
      <c r="AG68" s="43">
        <v>0.085578</v>
      </c>
    </row>
    <row r="69" spans="1:33">
      <c r="A69" t="s">
        <v>92</v>
      </c>
      <c r="B69" s="31" t="s">
        <v>84</v>
      </c>
      <c r="C69" s="32" t="s">
        <v>49</v>
      </c>
      <c r="D69" s="43">
        <v>0.547554</v>
      </c>
      <c r="E69" s="43">
        <v>0.527065</v>
      </c>
      <c r="F69" s="43">
        <v>0.349514</v>
      </c>
      <c r="G69" s="43">
        <v>0.898412</v>
      </c>
      <c r="H69" s="43">
        <v>0.492385</v>
      </c>
      <c r="I69" s="43">
        <v>0.571428</v>
      </c>
      <c r="J69" s="43">
        <v>0.5625</v>
      </c>
      <c r="K69" s="43">
        <v>0.5375</v>
      </c>
      <c r="L69" s="43">
        <v>0.488281</v>
      </c>
      <c r="M69" s="43">
        <v>0.451178</v>
      </c>
      <c r="N69" s="33">
        <v>0.121951</v>
      </c>
      <c r="O69" s="33">
        <v>0.067568</v>
      </c>
      <c r="P69" s="33">
        <v>0.3</v>
      </c>
      <c r="Q69" s="33">
        <v>0.163265</v>
      </c>
      <c r="R69" s="33">
        <v>0.197318</v>
      </c>
      <c r="S69" s="33">
        <v>0.925373</v>
      </c>
      <c r="T69" s="33">
        <v>0.799998</v>
      </c>
      <c r="U69" s="33">
        <v>0.920863</v>
      </c>
      <c r="V69" s="43">
        <v>0.22973</v>
      </c>
      <c r="W69" s="43">
        <v>0.004505</v>
      </c>
      <c r="X69" s="43">
        <v>0.235736</v>
      </c>
      <c r="Y69" s="43" t="s"/>
      <c r="Z69" s="43">
        <v>0.147147</v>
      </c>
      <c r="AA69" s="43">
        <v>0.184685</v>
      </c>
      <c r="AB69" s="43">
        <v>0.040541</v>
      </c>
      <c r="AC69" s="43">
        <v>0.001502</v>
      </c>
      <c r="AD69" s="43">
        <v>0.010511</v>
      </c>
      <c r="AE69" s="43">
        <v>0.003003</v>
      </c>
      <c r="AF69" s="43">
        <v>0.085586</v>
      </c>
      <c r="AG69" s="43">
        <v>0.057057</v>
      </c>
    </row>
    <row r="70" spans="1:33">
      <c r="A70" t="s">
        <v>93</v>
      </c>
      <c r="B70" s="31" t="s">
        <v>84</v>
      </c>
      <c r="C70" s="32" t="s">
        <v>49</v>
      </c>
      <c r="D70" s="43">
        <v>0.46807</v>
      </c>
      <c r="E70" s="43">
        <v>0.472934</v>
      </c>
      <c r="F70" s="43">
        <v>0.235436</v>
      </c>
      <c r="G70" s="43">
        <v>0.857142</v>
      </c>
      <c r="H70" s="43">
        <v>0.395939</v>
      </c>
      <c r="I70" s="43">
        <v>0.473214</v>
      </c>
      <c r="J70" s="43">
        <v>0.4375</v>
      </c>
      <c r="K70" s="43">
        <v>0.484375</v>
      </c>
      <c r="L70" s="43">
        <v>0.476562</v>
      </c>
      <c r="M70" s="33">
        <v>0.323232</v>
      </c>
      <c r="N70" s="33">
        <v>0</v>
      </c>
      <c r="O70" s="33">
        <v>0.013514</v>
      </c>
      <c r="P70" s="33">
        <v>0.069231</v>
      </c>
      <c r="Q70" s="33">
        <v>0.071429</v>
      </c>
      <c r="R70" s="33">
        <v>0.070881</v>
      </c>
      <c r="S70" s="33">
        <v>0.989583</v>
      </c>
      <c r="T70" s="33">
        <v>0</v>
      </c>
      <c r="U70" s="33">
        <v>0.979381</v>
      </c>
      <c r="V70" s="43">
        <v>0.196679</v>
      </c>
      <c r="W70" s="43">
        <v>0.010217</v>
      </c>
      <c r="X70" s="43">
        <v>0.243934</v>
      </c>
      <c r="Y70" s="43" t="s"/>
      <c r="Z70" s="43">
        <v>0.194125</v>
      </c>
      <c r="AA70" s="43">
        <v>0.153257</v>
      </c>
      <c r="AB70" s="43">
        <v>0.052363</v>
      </c>
      <c r="AC70" s="43">
        <v>0.002554</v>
      </c>
      <c r="AD70" s="43">
        <v>0.007663</v>
      </c>
      <c r="AE70" s="33">
        <v>0.001277</v>
      </c>
      <c r="AF70" s="43">
        <v>0.070243</v>
      </c>
      <c r="AG70" s="43">
        <v>0.067688</v>
      </c>
    </row>
    <row r="71" spans="1:33">
      <c r="A71" t="s">
        <v>94</v>
      </c>
      <c r="B71" s="31" t="s">
        <v>84</v>
      </c>
      <c r="C71" s="32" t="s">
        <v>49</v>
      </c>
      <c r="D71" s="43">
        <v>0.389266</v>
      </c>
      <c r="E71" s="43">
        <v>0.216524</v>
      </c>
      <c r="F71" s="43">
        <v>0.148058</v>
      </c>
      <c r="G71" s="43">
        <v>0.971428</v>
      </c>
      <c r="H71" s="43">
        <v>0.329949</v>
      </c>
      <c r="I71" s="43">
        <v>0.433928</v>
      </c>
      <c r="J71" s="43">
        <v>0.392857</v>
      </c>
      <c r="K71" s="43">
        <v>0.359375</v>
      </c>
      <c r="L71" s="43">
        <v>0.324218</v>
      </c>
      <c r="M71" s="43">
        <v>0.205387</v>
      </c>
      <c r="N71" s="33">
        <v>0</v>
      </c>
      <c r="O71" s="33">
        <v>0</v>
      </c>
      <c r="P71" s="33">
        <v>0.107692</v>
      </c>
      <c r="Q71" s="33">
        <v>0.058673</v>
      </c>
      <c r="R71" s="33">
        <v>0.070881</v>
      </c>
      <c r="S71" s="33">
        <v>1</v>
      </c>
      <c r="T71" s="33">
        <v>0</v>
      </c>
      <c r="U71" s="33">
        <v>1</v>
      </c>
      <c r="V71" s="43">
        <v>0.441602</v>
      </c>
      <c r="W71" s="43">
        <v>0.012236</v>
      </c>
      <c r="X71" s="43">
        <v>0.104561</v>
      </c>
      <c r="Y71" s="43" t="s"/>
      <c r="Z71" s="43">
        <v>0.205784</v>
      </c>
      <c r="AA71" s="43">
        <v>0.125695</v>
      </c>
      <c r="AB71" s="43">
        <v>0.01891</v>
      </c>
      <c r="AC71" s="43">
        <v>0.006674</v>
      </c>
      <c r="AD71" s="43">
        <v>0.003337</v>
      </c>
      <c r="AE71" s="43">
        <v>0.003337</v>
      </c>
      <c r="AF71" s="43">
        <v>0.036708</v>
      </c>
      <c r="AG71" s="43">
        <v>0.041157</v>
      </c>
    </row>
    <row r="72" spans="1:33">
      <c r="A72" t="s">
        <v>95</v>
      </c>
      <c r="B72" s="31" t="s">
        <v>84</v>
      </c>
      <c r="C72" s="32" t="s">
        <v>49</v>
      </c>
      <c r="D72" s="43">
        <v>0.283288</v>
      </c>
      <c r="E72" s="43">
        <v>0.062678</v>
      </c>
      <c r="F72" s="43">
        <v>0.038834</v>
      </c>
      <c r="G72" s="43">
        <v>0.949206</v>
      </c>
      <c r="H72" s="43">
        <v>0.203045</v>
      </c>
      <c r="I72" s="43">
        <v>0.307142</v>
      </c>
      <c r="J72" s="43">
        <v>0.291666</v>
      </c>
      <c r="K72" s="43">
        <v>0.259375</v>
      </c>
      <c r="L72" s="43">
        <v>0.25</v>
      </c>
      <c r="M72" s="33">
        <v>0.053872</v>
      </c>
      <c r="N72" s="33">
        <v>0</v>
      </c>
      <c r="O72" s="33">
        <v>0</v>
      </c>
      <c r="P72" s="33">
        <v>0.1</v>
      </c>
      <c r="Q72" s="33">
        <v>0.038265</v>
      </c>
      <c r="R72" s="33">
        <v>0.05364</v>
      </c>
      <c r="S72" s="33">
        <v>0.999999</v>
      </c>
      <c r="T72" s="33">
        <v>0</v>
      </c>
      <c r="U72" s="33">
        <v>0.999999</v>
      </c>
      <c r="V72" s="43">
        <v>0.51564</v>
      </c>
      <c r="W72" s="43">
        <v>0.008531</v>
      </c>
      <c r="X72" s="43">
        <v>0.054028</v>
      </c>
      <c r="Y72" s="43" t="s"/>
      <c r="Z72" s="43">
        <v>0.272038</v>
      </c>
      <c r="AA72" s="43">
        <v>0.082465</v>
      </c>
      <c r="AB72" s="43">
        <v>0.011374</v>
      </c>
      <c r="AC72" s="43">
        <v>0.007583</v>
      </c>
      <c r="AD72" s="43">
        <v>0.002844</v>
      </c>
      <c r="AE72" s="43">
        <v>0.006635</v>
      </c>
      <c r="AF72" s="43">
        <v>0.014218</v>
      </c>
      <c r="AG72" s="43">
        <v>0.024645</v>
      </c>
    </row>
    <row r="73" spans="1:33">
      <c r="A73" t="s">
        <v>96</v>
      </c>
      <c r="B73" s="31" t="s">
        <v>84</v>
      </c>
      <c r="C73" s="32" t="s">
        <v>49</v>
      </c>
      <c r="D73" s="43">
        <v>0.334239</v>
      </c>
      <c r="E73" s="43">
        <v>0.287749</v>
      </c>
      <c r="F73" s="43">
        <v>0.152912</v>
      </c>
      <c r="G73" s="43">
        <v>0.723809</v>
      </c>
      <c r="H73" s="43">
        <v>0.253807</v>
      </c>
      <c r="I73" s="43">
        <v>0.396428</v>
      </c>
      <c r="J73" s="43">
        <v>0.386904</v>
      </c>
      <c r="K73" s="43">
        <v>0.265625</v>
      </c>
      <c r="L73" s="33">
        <v>0.214843</v>
      </c>
      <c r="M73" s="33">
        <v>0.175084</v>
      </c>
      <c r="N73" s="33">
        <v>0.195122</v>
      </c>
      <c r="O73" s="33">
        <v>0.040541</v>
      </c>
      <c r="P73" s="33">
        <v>0.392308</v>
      </c>
      <c r="Q73" s="33">
        <v>0.181122</v>
      </c>
      <c r="R73" s="33">
        <v>0.233716</v>
      </c>
      <c r="S73" s="33">
        <v>0.057692</v>
      </c>
      <c r="T73" s="33">
        <v>0</v>
      </c>
      <c r="U73" s="33">
        <v>0.054545</v>
      </c>
      <c r="V73" s="43">
        <v>0.520408</v>
      </c>
      <c r="W73" s="43">
        <v>0</v>
      </c>
      <c r="X73" s="43">
        <v>0.130612</v>
      </c>
      <c r="Y73" s="43" t="s"/>
      <c r="Z73" s="43">
        <v>0.143878</v>
      </c>
      <c r="AA73" s="43">
        <v>0.152041</v>
      </c>
      <c r="AB73" s="43">
        <v>0.002041</v>
      </c>
      <c r="AC73" s="43">
        <v>0</v>
      </c>
      <c r="AD73" s="43">
        <v>0.003061</v>
      </c>
      <c r="AE73" s="43">
        <v>0</v>
      </c>
      <c r="AF73" s="43">
        <v>0.032653</v>
      </c>
      <c r="AG73" s="43">
        <v>0.015306</v>
      </c>
    </row>
    <row r="74" spans="2:3">
      <c r="B74" s="31" t="s"/>
      <c r="C74" s="32" t="s"/>
    </row>
    <row r="75" spans="2:3">
      <c r="B75" s="31" t="s"/>
      <c r="C75" s="32" t="s"/>
    </row>
    <row r="76" spans="2:3">
      <c r="B76" s="31" t="s"/>
      <c r="C76" s="32" t="s"/>
    </row>
    <row r="77" spans="2:3">
      <c r="B77" s="31" t="s"/>
      <c r="C77" s="32" t="s"/>
    </row>
    <row r="78" spans="2:3">
      <c r="B78" s="31" t="s"/>
      <c r="C78" s="32" t="s"/>
    </row>
    <row r="79" spans="2:3">
      <c r="B79" s="31" t="s"/>
      <c r="C79" s="32" t="s"/>
    </row>
    <row r="80" spans="2:3">
      <c r="B80" s="31" t="s"/>
      <c r="C80" s="32" t="s"/>
    </row>
    <row r="81" spans="2:3">
      <c r="B81" s="31" t="s"/>
      <c r="C81" s="32" t="s"/>
    </row>
    <row r="82" spans="2:3">
      <c r="B82" s="31" t="s"/>
      <c r="C82" s="32" t="s"/>
    </row>
    <row r="83" spans="2:3">
      <c r="B83" s="31" t="s"/>
      <c r="C83" s="32" t="s"/>
    </row>
    <row r="84" spans="2:3">
      <c r="B84" s="31" t="s"/>
      <c r="C84" s="32" t="s"/>
    </row>
    <row r="85" spans="2:3">
      <c r="B85" s="31" t="s"/>
      <c r="C85" s="32" t="s"/>
    </row>
    <row r="86" spans="2:3">
      <c r="B86" s="31" t="s"/>
      <c r="C86" s="32" t="s"/>
    </row>
    <row r="87" spans="2:3">
      <c r="B87" s="31" t="s"/>
      <c r="C87" s="32" t="s"/>
    </row>
    <row r="88" spans="2:3">
      <c r="B88" s="31" t="s"/>
      <c r="C88" s="32" t="s"/>
    </row>
    <row r="89" spans="2:3">
      <c r="B89" s="31" t="s"/>
      <c r="C89" s="32" t="s"/>
    </row>
    <row r="90" spans="2:3">
      <c r="B90" s="31" t="s"/>
      <c r="C90" s="32" t="s"/>
    </row>
    <row r="91" spans="2:3">
      <c r="B91" s="31" t="s"/>
      <c r="C91" s="32" t="s"/>
    </row>
    <row r="92" spans="2:3">
      <c r="B92" s="31" t="s"/>
      <c r="C92" s="32" t="s"/>
    </row>
    <row r="93" spans="2:3">
      <c r="B93" s="31" t="s"/>
      <c r="C93" s="32" t="s"/>
    </row>
    <row r="94" spans="2:3">
      <c r="B94" s="31" t="s"/>
      <c r="C94" s="32" t="s"/>
    </row>
    <row r="95" spans="2:3">
      <c r="B95" s="31" t="s"/>
      <c r="C95" s="32" t="s"/>
    </row>
    <row r="96" spans="2:3">
      <c r="B96" s="31" t="s"/>
      <c r="C96" s="32" t="s"/>
    </row>
    <row r="97" spans="2:3">
      <c r="B97" s="31" t="s"/>
      <c r="C97" s="32" t="s"/>
    </row>
    <row r="98" spans="2:3">
      <c r="B98" s="31" t="s"/>
      <c r="C98" s="32" t="s"/>
    </row>
    <row r="99" spans="2:3">
      <c r="B99" s="31" t="s"/>
      <c r="C99" s="32" t="s"/>
    </row>
    <row r="100" spans="2:3">
      <c r="B100" s="31" t="s"/>
      <c r="C100" s="32" t="s"/>
    </row>
    <row r="101" spans="2:3">
      <c r="B101" s="31" t="s"/>
      <c r="C101" s="32" t="s"/>
    </row>
    <row r="102" spans="2:3">
      <c r="B102" s="31" t="s"/>
      <c r="C102" s="32" t="s"/>
    </row>
    <row r="103" spans="2:3">
      <c r="B103" s="31" t="s"/>
      <c r="C103" s="32" t="s"/>
    </row>
    <row r="104" spans="2:3">
      <c r="B104" s="31" t="s"/>
      <c r="C104" s="32" t="s"/>
    </row>
    <row r="105" spans="2:3">
      <c r="B105" s="31" t="s"/>
      <c r="C105" s="32" t="s"/>
    </row>
    <row r="106" spans="2:3">
      <c r="B106" s="31" t="s"/>
      <c r="C106" s="32" t="s"/>
    </row>
    <row r="107" spans="2:3">
      <c r="B107" s="31" t="s"/>
      <c r="C107" s="32" t="s"/>
    </row>
    <row r="108" spans="2:3">
      <c r="B108" s="31" t="s"/>
      <c r="C108" s="32" t="s"/>
    </row>
    <row r="109" spans="2:3">
      <c r="B109" s="31" t="s"/>
      <c r="C109" s="32" t="s"/>
    </row>
    <row r="110" spans="2:3">
      <c r="B110" s="31" t="s"/>
      <c r="C110" s="32" t="s"/>
    </row>
    <row r="111" spans="2:3">
      <c r="B111" s="31" t="s"/>
      <c r="C111" s="32" t="s"/>
    </row>
    <row r="112" spans="2:3">
      <c r="B112" s="31" t="s"/>
      <c r="C112" s="32" t="s"/>
    </row>
    <row r="113" spans="2:3">
      <c r="B113" s="31" t="s"/>
      <c r="C113" s="32" t="s"/>
    </row>
    <row r="114" spans="2:3">
      <c r="B114" s="31" t="s"/>
      <c r="C114" s="32" t="s"/>
    </row>
    <row r="115" spans="2:3">
      <c r="B115" s="31" t="s"/>
      <c r="C115" s="32" t="s"/>
    </row>
    <row r="116" spans="2:3">
      <c r="B116" s="31" t="s"/>
      <c r="C116" s="32" t="s"/>
    </row>
    <row r="117" spans="2:3">
      <c r="B117" s="31" t="s"/>
      <c r="C117" s="32" t="s"/>
    </row>
    <row r="118" spans="2:3">
      <c r="B118" s="31" t="s"/>
      <c r="C118" s="32" t="s"/>
    </row>
    <row r="119" spans="2:3">
      <c r="B119" s="31" t="s"/>
      <c r="C119" s="32" t="s"/>
    </row>
    <row r="120" spans="2:3">
      <c r="B120" s="31" t="s"/>
      <c r="C120" s="32" t="s"/>
    </row>
    <row r="121" spans="2:3">
      <c r="B121" s="31" t="s"/>
      <c r="C121" s="32" t="s"/>
    </row>
    <row r="122" spans="2:3">
      <c r="B122" s="31" t="s"/>
      <c r="C122" s="32" t="s"/>
    </row>
    <row r="123" spans="2:3">
      <c r="B123" s="31" t="s"/>
      <c r="C123" s="32" t="s"/>
    </row>
    <row r="124" spans="2:3">
      <c r="B124" s="31" t="s"/>
      <c r="C124" s="32" t="s"/>
    </row>
    <row r="125" spans="2:3">
      <c r="B125" s="31" t="s"/>
      <c r="C125" s="32" t="s"/>
    </row>
    <row r="126" spans="2:3">
      <c r="B126" s="31" t="s"/>
      <c r="C126" s="32" t="s"/>
    </row>
    <row r="127" spans="2:3">
      <c r="B127" s="31" t="s"/>
      <c r="C127" s="32" t="s"/>
    </row>
    <row r="128" spans="2:3">
      <c r="B128" s="31" t="s"/>
      <c r="C128" s="32" t="s"/>
    </row>
    <row r="129" spans="2:3">
      <c r="B129" s="31" t="s"/>
      <c r="C129" s="32" t="s"/>
    </row>
    <row r="130" spans="2:3">
      <c r="B130" s="31" t="s"/>
      <c r="C130" s="32" t="s"/>
    </row>
    <row r="131" spans="2:3">
      <c r="B131" s="31" t="s"/>
      <c r="C131" s="32" t="s"/>
    </row>
    <row r="132" spans="2:3">
      <c r="B132" s="31" t="s"/>
      <c r="C132" s="32" t="s"/>
    </row>
    <row r="133" spans="2:3">
      <c r="B133" s="31" t="s"/>
      <c r="C133" s="32" t="s"/>
    </row>
    <row r="134" spans="2:3">
      <c r="B134" s="31" t="s"/>
      <c r="C134" s="32" t="s"/>
    </row>
    <row r="135" spans="2:3">
      <c r="B135" s="31" t="s"/>
      <c r="C135" s="32" t="s"/>
    </row>
    <row r="136" spans="2:3">
      <c r="B136" s="31" t="s"/>
      <c r="C136" s="32" t="s"/>
    </row>
    <row r="137" spans="2:3">
      <c r="B137" s="31" t="s"/>
      <c r="C137" s="32" t="s"/>
    </row>
    <row r="138" spans="2:3">
      <c r="B138" s="31" t="s"/>
      <c r="C138" s="32" t="s"/>
    </row>
    <row r="139" spans="2:3">
      <c r="B139" s="31" t="s"/>
      <c r="C139" s="32" t="s"/>
    </row>
    <row r="140" spans="2:3">
      <c r="B140" s="31" t="s"/>
      <c r="C140" s="32" t="s"/>
    </row>
    <row r="141" spans="2:3">
      <c r="B141" s="31" t="s"/>
      <c r="C141" s="32" t="s"/>
    </row>
    <row r="142" spans="2:3">
      <c r="B142" s="31" t="s"/>
      <c r="C142" s="32" t="s"/>
    </row>
    <row r="143" spans="2:3">
      <c r="B143" s="31" t="s"/>
      <c r="C143" s="32" t="s"/>
    </row>
    <row r="144" spans="2:3">
      <c r="B144" s="31" t="s"/>
      <c r="C144" s="32" t="s"/>
    </row>
    <row r="145" spans="2:3">
      <c r="B145" s="31" t="s"/>
      <c r="C145" s="32" t="s"/>
    </row>
    <row r="146" spans="2:3">
      <c r="B146" s="31" t="s"/>
      <c r="C146" s="32" t="s"/>
    </row>
    <row r="147" spans="2:3">
      <c r="B147" s="31" t="s"/>
      <c r="C147" s="32" t="s"/>
    </row>
    <row r="148" spans="2:3">
      <c r="B148" s="31" t="s"/>
      <c r="C148" s="32" t="s"/>
    </row>
    <row r="149" spans="2:3">
      <c r="B149" s="31" t="s"/>
      <c r="C149" s="32" t="s"/>
    </row>
    <row r="150" spans="2:3">
      <c r="B150" s="31" t="s"/>
      <c r="C150" s="32" t="s"/>
    </row>
    <row r="151" spans="2:3">
      <c r="B151" s="31" t="s"/>
      <c r="C151" s="32" t="s"/>
    </row>
    <row r="152" spans="2:3">
      <c r="B152" s="31" t="s"/>
      <c r="C152" s="32" t="s"/>
    </row>
    <row r="153" spans="2:3">
      <c r="B153" s="31" t="s"/>
      <c r="C153" s="32" t="s"/>
    </row>
    <row r="154" spans="2:3">
      <c r="B154" s="31" t="s"/>
      <c r="C154" s="32" t="s"/>
    </row>
    <row r="155" spans="2:3">
      <c r="B155" s="31" t="s"/>
      <c r="C155" s="32" t="s"/>
    </row>
    <row r="156" spans="2:3">
      <c r="B156" s="31" t="s"/>
      <c r="C156" s="32" t="s"/>
    </row>
    <row r="157" spans="2:3">
      <c r="B157" s="31" t="s"/>
      <c r="C157" s="32" t="s"/>
    </row>
    <row r="158" spans="2:3">
      <c r="B158" s="31" t="s"/>
      <c r="C158" s="32" t="s"/>
    </row>
    <row r="159" spans="2:3">
      <c r="B159" s="31" t="s"/>
      <c r="C159" s="32" t="s"/>
    </row>
    <row r="160" spans="2:3">
      <c r="B160" s="31" t="s"/>
      <c r="C160" s="32" t="s"/>
    </row>
    <row r="161" spans="2:3">
      <c r="B161" s="31" t="s"/>
      <c r="C161" s="32" t="s"/>
    </row>
    <row r="162" spans="2:3">
      <c r="B162" s="31" t="s"/>
      <c r="C162" s="32" t="s"/>
    </row>
    <row r="163" spans="2:3">
      <c r="B163" s="31" t="s"/>
      <c r="C163" s="32" t="s"/>
    </row>
    <row r="164" spans="2:3">
      <c r="B164" s="31" t="s"/>
      <c r="C164" s="32" t="s"/>
    </row>
    <row r="165" spans="2:3">
      <c r="B165" s="31" t="s"/>
      <c r="C165" s="32" t="s"/>
    </row>
    <row r="166" spans="2:3">
      <c r="B166" s="31" t="s"/>
      <c r="C166" s="32" t="s"/>
    </row>
    <row r="167" spans="2:3">
      <c r="B167" s="31" t="s"/>
      <c r="C167" s="32" t="s"/>
    </row>
    <row r="168" spans="2:3">
      <c r="B168" s="31" t="s"/>
      <c r="C168" s="32" t="s"/>
    </row>
    <row r="169" spans="2:3">
      <c r="B169" s="31" t="s"/>
      <c r="C169" s="32" t="s"/>
    </row>
    <row r="170" spans="2:3">
      <c r="B170" s="31" t="s"/>
      <c r="C170" s="32" t="s"/>
    </row>
    <row r="171" spans="2:3">
      <c r="B171" s="31" t="s"/>
      <c r="C171" s="32" t="s"/>
    </row>
    <row r="172" spans="2:3">
      <c r="B172" s="31" t="s"/>
      <c r="C172" s="32" t="s"/>
    </row>
    <row r="173" spans="2:3">
      <c r="B173" s="31" t="s"/>
      <c r="C173" s="32" t="s"/>
    </row>
    <row r="174" spans="2:3">
      <c r="B174" s="31" t="s"/>
      <c r="C174" s="32" t="s"/>
    </row>
    <row r="175" spans="2:3">
      <c r="B175" s="31" t="s"/>
      <c r="C175" s="32" t="s"/>
    </row>
    <row r="176" spans="2:3">
      <c r="B176" s="31" t="s"/>
      <c r="C176" s="32" t="s"/>
    </row>
    <row r="177" spans="2:3">
      <c r="B177" s="31" t="s"/>
      <c r="C177" s="32" t="s"/>
    </row>
    <row r="178" spans="2:3">
      <c r="B178" s="31" t="s"/>
      <c r="C178" s="32" t="s"/>
    </row>
    <row r="179" spans="2:3">
      <c r="B179" s="31" t="s"/>
      <c r="C179" s="32" t="s"/>
    </row>
    <row r="180" spans="2:3">
      <c r="B180" s="31" t="s"/>
      <c r="C180" s="32" t="s"/>
    </row>
    <row r="181" spans="2:3">
      <c r="B181" s="31" t="s"/>
      <c r="C181" s="32" t="s"/>
    </row>
    <row r="182" spans="2:3">
      <c r="B182" s="31" t="s"/>
      <c r="C182" s="32" t="s"/>
    </row>
    <row r="183" spans="2:3">
      <c r="B183" s="31" t="s"/>
      <c r="C183" s="32" t="s"/>
    </row>
    <row r="184" spans="2:3">
      <c r="B184" s="31" t="s"/>
      <c r="C184" s="32" t="s"/>
    </row>
    <row r="185" spans="2:3">
      <c r="B185" s="31" t="s"/>
      <c r="C185" s="32" t="s"/>
    </row>
    <row r="186" spans="2:3">
      <c r="B186" s="31" t="s"/>
      <c r="C186" s="32" t="s"/>
    </row>
    <row r="187" spans="2:3">
      <c r="B187" s="31" t="s"/>
      <c r="C187" s="32" t="s"/>
    </row>
  </sheetData>
  <mergeCells count="41">
    <mergeCell ref="E1:H1"/>
    <mergeCell ref="I1:L1"/>
    <mergeCell ref="M1:O1"/>
    <mergeCell ref="A1:A3"/>
    <mergeCell ref="B1:B3"/>
    <mergeCell ref="C1:C3"/>
    <mergeCell ref="D1:D3"/>
    <mergeCell ref="R1:R3"/>
    <mergeCell ref="M2:M3"/>
    <mergeCell ref="N2:N3"/>
    <mergeCell ref="O2:O3"/>
    <mergeCell ref="AC2:AG2"/>
    <mergeCell ref="E2:E3"/>
    <mergeCell ref="F2:F3"/>
    <mergeCell ref="G2:G3"/>
    <mergeCell ref="H2:H3"/>
    <mergeCell ref="I2:I3"/>
    <mergeCell ref="J2:J3"/>
    <mergeCell ref="K2:K3"/>
    <mergeCell ref="L2:L3"/>
    <mergeCell ref="U1:U3"/>
    <mergeCell ref="S1:S3"/>
    <mergeCell ref="T1:T3"/>
    <mergeCell ref="AH2:AH3"/>
    <mergeCell ref="AI2:AI3"/>
    <mergeCell ref="AH1:AI1"/>
    <mergeCell ref="AJ2:AJ3"/>
    <mergeCell ref="AK2:AK3"/>
    <mergeCell ref="AL2:AL3"/>
    <mergeCell ref="AM2:AM3"/>
    <mergeCell ref="P1:P3"/>
    <mergeCell ref="Q1:Q3"/>
    <mergeCell ref="AJ1:AM1"/>
    <mergeCell ref="V1:AG1"/>
    <mergeCell ref="V2:AB2"/>
    <mergeCell ref="A13:AW13"/>
    <mergeCell ref="A17:AW17"/>
    <mergeCell ref="A24:AW24"/>
    <mergeCell ref="A44:AM44"/>
    <mergeCell ref="A52:AM52"/>
    <mergeCell ref="A61:AM61"/>
  </mergeCells>
  <conditionalFormatting sqref="V45:AG51 V53:AG55 V62:AG73">
    <cfRule type="expression" dxfId="0" priority="1">
      <formula>=MAX(INDIRECT("V"&amp;ROW()&amp;":AF"&amp;ROW()))=V45</formula>
    </cfRule>
  </conditionalFormatting>
  <conditionalFormatting sqref="D49:D51 D53:D55 D62:D81">
    <cfRule type="expression" dxfId="1" priority="2">
      <formula>=D49=MAX($D$46:$D$81)</formula>
    </cfRule>
  </conditionalFormatting>
  <dataValidations>
    <dataValidation type="list" errorStyle="stop" allowBlank="true" showDropDown="false" showInputMessage="true" showErrorMessage="true" prompt="" sqref="C1:C1048576">
      <formula1>"中文,英文,diff,"</formula1>
    </dataValidation>
    <dataValidation type="list" errorStyle="stop" allowBlank="true" showDropDown="false" showInputMessage="true" showErrorMessage="true" prompt="" sqref="B1:B1048576">
      <formula1>"闭源模型,开源通用模型,开源专用模型,"</formula1>
    </dataValidation>
  </dataValidations>
  <drawing r:id="rId0"/>
</worksheet>
</file>

<file path=xl/worksheets/sheet9.xml><?xml version="1.0" encoding="utf-8"?>
<worksheet xmlns="http://schemas.openxmlformats.org/spreadsheetml/2006/main">
  <sheetPr codeName="bench比较">
    <tabColor rgb="FFFFFFFF"/>
  </sheetPr>
  <dimension ref="B14"/>
  <sheetViews>
    <sheetView showGridLines="true" workbookViewId="0"/>
  </sheetViews>
  <cols>
    <col min="9" max="11" width="14.9727" style="56" customWidth="true"/>
    <col min="12" max="12" width="19.6914" style="56" customWidth="true"/>
  </cols>
  <sheetData>
    <row r="1" spans="1:12">
      <c r="A1" s="74" t="s">
        <v>173</v>
      </c>
      <c r="B1" s="75" t="s">
        <v>16</v>
      </c>
      <c r="C1" s="76" t="s">
        <v>17</v>
      </c>
      <c r="D1" s="6" t="s"/>
      <c r="E1" s="7" t="s"/>
      <c r="F1" s="75" t="s">
        <v>19</v>
      </c>
      <c r="G1" s="75" t="s">
        <v>18</v>
      </c>
      <c r="H1" s="75" t="s">
        <v>174</v>
      </c>
      <c r="I1" s="76" t="s">
        <v>175</v>
      </c>
      <c r="J1" s="23" t="s"/>
      <c r="K1" s="77" t="s">
        <v>176</v>
      </c>
      <c r="L1" s="75" t="s">
        <v>177</v>
      </c>
    </row>
    <row r="2" spans="1:12">
      <c r="A2" s="29" t="s"/>
      <c r="B2" s="29" t="s"/>
      <c r="C2" s="78" t="s">
        <v>178</v>
      </c>
      <c r="D2" s="78" t="s">
        <v>179</v>
      </c>
      <c r="E2" s="78" t="s">
        <v>180</v>
      </c>
      <c r="F2" s="29" t="s"/>
      <c r="G2" s="29" t="s"/>
      <c r="H2" s="29" t="s"/>
      <c r="I2" s="78" t="s">
        <v>181</v>
      </c>
      <c r="J2" s="78" t="s">
        <v>182</v>
      </c>
      <c r="K2" s="79" t="s"/>
      <c r="L2" s="29" t="s"/>
    </row>
    <row r="3" spans="1:12">
      <c r="A3" s="80" t="s">
        <v>183</v>
      </c>
      <c r="B3" s="56" t="s">
        <v>114</v>
      </c>
      <c r="C3" s="56" t="s">
        <v>114</v>
      </c>
      <c r="D3" s="56" t="s">
        <v>114</v>
      </c>
      <c r="E3" s="56" t="s">
        <v>114</v>
      </c>
      <c r="F3" s="56" t="s">
        <v>114</v>
      </c>
      <c r="G3" s="56" t="s">
        <v>114</v>
      </c>
      <c r="H3" s="56" t="s">
        <v>114</v>
      </c>
      <c r="I3" s="56" t="s">
        <v>114</v>
      </c>
      <c r="J3" s="56" t="s">
        <v>114</v>
      </c>
      <c r="K3" s="56" t="s">
        <v>114</v>
      </c>
      <c r="L3" s="81" t="s">
        <v>184</v>
      </c>
    </row>
    <row r="4" spans="1:12">
      <c r="A4" s="80" t="s">
        <v>185</v>
      </c>
      <c r="B4" s="56" t="s">
        <v>114</v>
      </c>
      <c r="C4" s="56" t="s">
        <v>114</v>
      </c>
      <c r="D4" s="56" t="s">
        <v>186</v>
      </c>
      <c r="E4" s="56" t="s">
        <v>186</v>
      </c>
      <c r="F4" s="56" t="s">
        <v>186</v>
      </c>
      <c r="G4" s="56" t="s">
        <v>114</v>
      </c>
      <c r="H4" s="56" t="s">
        <v>186</v>
      </c>
      <c r="I4" s="56" t="s">
        <v>114</v>
      </c>
      <c r="J4" s="56" t="s">
        <v>114</v>
      </c>
      <c r="K4" s="56" t="s">
        <v>186</v>
      </c>
      <c r="L4" s="81" t="s">
        <v>187</v>
      </c>
    </row>
    <row r="5" spans="1:12">
      <c r="A5" s="80" t="s">
        <v>188</v>
      </c>
      <c r="B5" s="56" t="s">
        <v>114</v>
      </c>
      <c r="C5" s="56" t="s">
        <v>114</v>
      </c>
      <c r="D5" s="56" t="s">
        <v>186</v>
      </c>
      <c r="E5" s="56" t="s">
        <v>186</v>
      </c>
      <c r="F5" s="56" t="s">
        <v>186</v>
      </c>
      <c r="G5" s="56" t="s">
        <v>114</v>
      </c>
      <c r="H5" s="56" t="s">
        <v>186</v>
      </c>
      <c r="I5" s="56" t="s">
        <v>114</v>
      </c>
      <c r="J5" s="56" t="s">
        <v>114</v>
      </c>
      <c r="K5" s="56" t="s">
        <v>186</v>
      </c>
      <c r="L5" s="81" t="s">
        <v>187</v>
      </c>
    </row>
    <row r="6" spans="1:12">
      <c r="A6" s="80" t="s">
        <v>189</v>
      </c>
      <c r="B6" s="56" t="s">
        <v>114</v>
      </c>
      <c r="C6" s="56" t="s">
        <v>114</v>
      </c>
      <c r="D6" s="56" t="s">
        <v>186</v>
      </c>
      <c r="E6" s="56" t="s">
        <v>186</v>
      </c>
      <c r="F6" s="56" t="s">
        <v>114</v>
      </c>
      <c r="G6" s="56" t="s">
        <v>114</v>
      </c>
      <c r="H6" s="56" t="s">
        <v>114</v>
      </c>
      <c r="I6" s="56" t="s">
        <v>114</v>
      </c>
      <c r="J6" s="56" t="s">
        <v>114</v>
      </c>
      <c r="K6" s="56" t="s">
        <v>186</v>
      </c>
      <c r="L6" s="81" t="s">
        <v>190</v>
      </c>
    </row>
    <row r="7" spans="1:12">
      <c r="A7" s="80" t="s">
        <v>191</v>
      </c>
      <c r="B7" s="56" t="s">
        <v>114</v>
      </c>
      <c r="C7" s="56" t="s">
        <v>186</v>
      </c>
      <c r="D7" s="56" t="s">
        <v>114</v>
      </c>
      <c r="E7" s="56" t="s">
        <v>186</v>
      </c>
      <c r="F7" s="56" t="s">
        <v>186</v>
      </c>
      <c r="G7" s="56" t="s">
        <v>186</v>
      </c>
      <c r="H7" s="56" t="s">
        <v>186</v>
      </c>
      <c r="I7" s="56" t="s">
        <v>186</v>
      </c>
      <c r="J7" s="56" t="s">
        <v>186</v>
      </c>
      <c r="K7" s="56" t="s">
        <v>114</v>
      </c>
      <c r="L7" s="56" t="s">
        <v>192</v>
      </c>
    </row>
    <row r="8" spans="1:29">
      <c r="A8" s="80" t="s">
        <v>193</v>
      </c>
      <c r="B8" s="56" t="s">
        <v>114</v>
      </c>
      <c r="C8" s="56" t="s">
        <v>186</v>
      </c>
      <c r="D8" s="56" t="s">
        <v>114</v>
      </c>
      <c r="E8" s="56" t="s">
        <v>186</v>
      </c>
      <c r="F8" s="56" t="s">
        <v>186</v>
      </c>
      <c r="G8" s="56" t="s">
        <v>186</v>
      </c>
      <c r="H8" s="56" t="s">
        <v>186</v>
      </c>
      <c r="I8" s="56" t="s">
        <v>186</v>
      </c>
      <c r="J8" s="56" t="s">
        <v>186</v>
      </c>
      <c r="K8" s="56" t="s">
        <v>114</v>
      </c>
      <c r="L8" s="81" t="s">
        <v>192</v>
      </c>
      <c r="M8" s="56" t="s"/>
      <c r="N8" s="56" t="s"/>
      <c r="O8" s="56" t="s"/>
      <c r="P8" s="56" t="s"/>
      <c r="Q8" s="56" t="s"/>
      <c r="R8" s="56" t="s"/>
      <c r="S8" s="56" t="s"/>
      <c r="T8" s="56" t="s"/>
      <c r="U8" s="56" t="s"/>
      <c r="V8" s="56" t="s"/>
      <c r="W8" s="56" t="s"/>
      <c r="X8" s="56" t="s"/>
      <c r="Y8" s="56" t="s"/>
      <c r="Z8" s="56" t="s"/>
      <c r="AA8" s="56" t="s"/>
      <c r="AB8" s="56" t="s"/>
      <c r="AC8" s="56" t="s"/>
    </row>
    <row r="9" spans="1:12">
      <c r="A9" s="80" t="s">
        <v>194</v>
      </c>
      <c r="B9" s="56" t="s">
        <v>186</v>
      </c>
      <c r="C9" s="56" t="s">
        <v>186</v>
      </c>
      <c r="D9" s="56" t="s">
        <v>114</v>
      </c>
      <c r="E9" s="56" t="s">
        <v>186</v>
      </c>
      <c r="F9" s="56" t="s">
        <v>186</v>
      </c>
      <c r="G9" s="56" t="s">
        <v>186</v>
      </c>
      <c r="H9" s="56" t="s">
        <v>186</v>
      </c>
      <c r="I9" s="56" t="s">
        <v>114</v>
      </c>
      <c r="J9" s="56" t="s">
        <v>114</v>
      </c>
      <c r="K9" s="56" t="s">
        <v>114</v>
      </c>
      <c r="L9" s="56" t="s">
        <v>195</v>
      </c>
    </row>
    <row r="10" spans="1:29">
      <c r="A10" s="80" t="s">
        <v>196</v>
      </c>
      <c r="B10" s="56" t="s">
        <v>186</v>
      </c>
      <c r="C10" s="56" t="s">
        <v>186</v>
      </c>
      <c r="D10" s="56" t="s">
        <v>114</v>
      </c>
      <c r="E10" s="56" t="s">
        <v>186</v>
      </c>
      <c r="F10" s="56" t="s">
        <v>186</v>
      </c>
      <c r="G10" s="56" t="s">
        <v>186</v>
      </c>
      <c r="H10" s="56" t="s">
        <v>186</v>
      </c>
      <c r="I10" s="56" t="s">
        <v>114</v>
      </c>
      <c r="J10" s="56" t="s">
        <v>114</v>
      </c>
      <c r="K10" s="56" t="s">
        <v>186</v>
      </c>
      <c r="L10" s="56" t="s">
        <v>195</v>
      </c>
      <c r="M10" s="56" t="s"/>
      <c r="N10" s="56" t="s"/>
      <c r="O10" s="56" t="s"/>
      <c r="P10" s="56" t="s"/>
      <c r="Q10" s="56" t="s"/>
      <c r="R10" s="56" t="s"/>
      <c r="S10" s="56" t="s"/>
      <c r="T10" s="56" t="s"/>
      <c r="U10" s="56" t="s"/>
      <c r="V10" s="56" t="s"/>
      <c r="W10" s="56" t="s"/>
      <c r="X10" s="56" t="s"/>
      <c r="Y10" s="56" t="s"/>
      <c r="Z10" s="56" t="s"/>
      <c r="AA10" s="56" t="s"/>
      <c r="AB10" s="56" t="s"/>
      <c r="AC10" s="56" t="s"/>
    </row>
    <row r="11" spans="1:12">
      <c r="A11" s="82" t="s">
        <v>197</v>
      </c>
      <c r="B11" s="56" t="s">
        <v>114</v>
      </c>
      <c r="C11" s="56" t="s">
        <v>186</v>
      </c>
      <c r="D11" s="56" t="s">
        <v>114</v>
      </c>
      <c r="E11" s="56" t="s">
        <v>186</v>
      </c>
      <c r="F11" s="56" t="s">
        <v>186</v>
      </c>
      <c r="G11" s="56" t="s">
        <v>186</v>
      </c>
      <c r="H11" s="56" t="s">
        <v>186</v>
      </c>
      <c r="I11" s="56" t="s">
        <v>114</v>
      </c>
      <c r="J11" s="56" t="s">
        <v>114</v>
      </c>
      <c r="K11" s="56" t="s">
        <v>114</v>
      </c>
      <c r="L11" s="56" t="s">
        <v>192</v>
      </c>
    </row>
    <row r="14" spans="2:2">
      <c r="B14" s="56" t="s"/>
    </row>
  </sheetData>
  <mergeCells count="9">
    <mergeCell ref="C1:E1"/>
    <mergeCell ref="A1:A2"/>
    <mergeCell ref="B1:B2"/>
    <mergeCell ref="G1:G2"/>
    <mergeCell ref="F1:F2"/>
    <mergeCell ref="H1:H2"/>
    <mergeCell ref="L1:L2"/>
    <mergeCell ref="I1:J1"/>
    <mergeCell ref="K1:K2"/>
  </mergeCells>
</worksheet>
</file>

<file path=xl/worksheets/sheet10.xml><?xml version="1.0" encoding="utf-8"?>
<worksheet xmlns:r="http://schemas.openxmlformats.org/officeDocument/2006/relationships" xmlns="http://schemas.openxmlformats.org/spreadsheetml/2006/main">
  <sheetPr codeName="模型实验计划">
    <tabColor rgb="FFFFFFFF"/>
  </sheetPr>
  <dimension ref="E208"/>
  <sheetViews>
    <sheetView showGridLines="true" workbookViewId="0">
      <pane ySplit="1" topLeftCell="A2" state="frozen"/>
    </sheetView>
  </sheetViews>
  <cols>
    <col min="1" max="1" width="27.5117" customWidth="true"/>
    <col min="4" max="4" width="19.9609" style="56" hidden="true" customWidth="true"/>
    <col min="5" max="5" width="19.9609" style="56" customWidth="true"/>
  </cols>
  <sheetData>
    <row r="1" spans="1:8">
      <c r="A1" t="s">
        <v>1</v>
      </c>
      <c r="B1" t="s">
        <v>198</v>
      </c>
      <c r="C1" t="s">
        <v>199</v>
      </c>
      <c r="D1" s="56" t="s">
        <v>200</v>
      </c>
      <c r="E1" s="56" t="s">
        <v>201</v>
      </c>
      <c r="F1" t="s">
        <v>202</v>
      </c>
      <c r="G1" t="s">
        <v>203</v>
      </c>
      <c r="H1" t="s">
        <v>394</v>
      </c>
    </row>
    <row r="2" spans="1:6">
      <c r="A2" t="s">
        <v>53</v>
      </c>
      <c r="C2" s="32" t="s">
        <v>204</v>
      </c>
      <c r="D2" s="83" t="s">
        <v>114</v>
      </c>
      <c r="E2" s="57" t="s">
        <v>114</v>
      </c>
      <c r="F2" t="s">
        <v>205</v>
      </c>
    </row>
    <row r="3" spans="1:5">
      <c r="A3" t="s">
        <v>206</v>
      </c>
      <c r="C3" s="32" t="s">
        <v>204</v>
      </c>
      <c r="D3" s="83" t="s"/>
      <c r="E3" s="57" t="s"/>
    </row>
    <row r="4" spans="1:6">
      <c r="A4" t="s">
        <v>207</v>
      </c>
      <c r="C4" s="32" t="s">
        <v>204</v>
      </c>
      <c r="D4" s="83" t="s"/>
      <c r="E4" s="57" t="s">
        <v>114</v>
      </c>
      <c r="F4" t="s">
        <v>205</v>
      </c>
    </row>
    <row r="5" spans="1:6">
      <c r="A5" s="35" t="s">
        <v>208</v>
      </c>
      <c r="C5" s="32" t="s">
        <v>204</v>
      </c>
      <c r="D5" s="83" t="s"/>
      <c r="E5" s="57" t="s">
        <v>114</v>
      </c>
      <c r="F5" t="s">
        <v>205</v>
      </c>
    </row>
    <row r="6" spans="1:6">
      <c r="A6" t="s">
        <v>71</v>
      </c>
      <c r="C6" s="32" t="s">
        <v>204</v>
      </c>
      <c r="D6" s="57" t="s"/>
      <c r="E6" s="57" t="s">
        <v>114</v>
      </c>
      <c r="F6" t="s">
        <v>205</v>
      </c>
    </row>
    <row r="7" spans="1:5">
      <c r="A7" t="s">
        <v>209</v>
      </c>
      <c r="C7" s="31" t="s">
        <v>204</v>
      </c>
      <c r="D7" s="57" t="s"/>
      <c r="E7" s="57" t="s"/>
    </row>
    <row r="8" spans="1:5">
      <c r="A8" t="s">
        <v>210</v>
      </c>
      <c r="C8" s="31" t="s">
        <v>204</v>
      </c>
      <c r="D8" s="57" t="s"/>
      <c r="E8" s="57" t="s"/>
    </row>
    <row r="9" spans="1:5">
      <c r="A9" t="s">
        <v>211</v>
      </c>
      <c r="C9" s="31" t="s">
        <v>199</v>
      </c>
      <c r="D9" s="57" t="s"/>
      <c r="E9" s="57" t="s"/>
    </row>
    <row r="10" spans="1:5">
      <c r="A10" t="s">
        <v>212</v>
      </c>
      <c r="C10" s="31" t="s">
        <v>204</v>
      </c>
      <c r="D10" s="57" t="s"/>
      <c r="E10" s="57" t="s"/>
    </row>
    <row r="11" spans="1:6">
      <c r="A11" t="s">
        <v>213</v>
      </c>
      <c r="B11" t="s">
        <v>214</v>
      </c>
      <c r="C11" s="32" t="s">
        <v>199</v>
      </c>
      <c r="D11" s="83" t="s">
        <v>215</v>
      </c>
      <c r="E11" s="57" t="s">
        <v>114</v>
      </c>
      <c r="F11" s="79" t="s">
        <v>395</v>
      </c>
    </row>
    <row r="12" spans="1:7">
      <c r="A12" t="s">
        <v>216</v>
      </c>
      <c r="B12" s="29" t="s">
        <v>217</v>
      </c>
      <c r="C12" s="32" t="s">
        <v>199</v>
      </c>
      <c r="D12" s="83" t="s">
        <v>215</v>
      </c>
      <c r="E12" s="57" t="s">
        <v>114</v>
      </c>
      <c r="F12" s="21" t="s"/>
      <c r="G12" t="s">
        <v>396</v>
      </c>
    </row>
    <row r="13" spans="1:6">
      <c r="A13" t="s">
        <v>218</v>
      </c>
      <c r="B13" s="79" t="s">
        <v>219</v>
      </c>
      <c r="C13" s="32" t="s">
        <v>199</v>
      </c>
      <c r="D13" s="83" t="s">
        <v>215</v>
      </c>
      <c r="E13" s="57" t="s">
        <v>114</v>
      </c>
      <c r="F13" s="21" t="s"/>
    </row>
    <row r="14" spans="1:6">
      <c r="A14" t="s">
        <v>220</v>
      </c>
      <c r="B14" s="29" t="s"/>
      <c r="C14" s="32" t="s">
        <v>199</v>
      </c>
      <c r="D14" s="83" t="s">
        <v>215</v>
      </c>
      <c r="E14" s="57" t="s">
        <v>114</v>
      </c>
      <c r="F14" s="29" t="s"/>
    </row>
    <row r="15" spans="1:6">
      <c r="A15" t="s">
        <v>221</v>
      </c>
      <c r="B15" s="79" t="s">
        <v>222</v>
      </c>
      <c r="C15" s="32" t="s">
        <v>199</v>
      </c>
      <c r="D15" s="83" t="s">
        <v>215</v>
      </c>
      <c r="E15" s="57" t="s">
        <v>114</v>
      </c>
      <c r="F15" s="79" t="s">
        <v>397</v>
      </c>
    </row>
    <row r="16" spans="1:6">
      <c r="A16" t="s">
        <v>223</v>
      </c>
      <c r="B16" s="21" t="s"/>
      <c r="C16" s="32" t="s">
        <v>199</v>
      </c>
      <c r="D16" s="83" t="s">
        <v>114</v>
      </c>
      <c r="E16" s="57" t="s">
        <v>114</v>
      </c>
      <c r="F16" s="21" t="s"/>
    </row>
    <row r="17" spans="1:6">
      <c r="A17" t="s">
        <v>224</v>
      </c>
      <c r="B17" s="21" t="s"/>
      <c r="C17" s="32" t="s">
        <v>199</v>
      </c>
      <c r="D17" s="83" t="s">
        <v>114</v>
      </c>
      <c r="E17" s="57" t="s">
        <v>114</v>
      </c>
      <c r="F17" s="21" t="s"/>
    </row>
    <row r="18" spans="1:6">
      <c r="A18" t="s">
        <v>225</v>
      </c>
      <c r="B18" s="21" t="s"/>
      <c r="C18" s="32" t="s">
        <v>199</v>
      </c>
      <c r="D18" s="83" t="s">
        <v>114</v>
      </c>
      <c r="E18" s="57" t="s">
        <v>114</v>
      </c>
      <c r="F18" s="21" t="s"/>
    </row>
    <row r="19" spans="1:6">
      <c r="A19" t="s">
        <v>226</v>
      </c>
      <c r="B19" s="21" t="s"/>
      <c r="C19" s="32" t="s">
        <v>199</v>
      </c>
      <c r="D19" s="83" t="s">
        <v>114</v>
      </c>
      <c r="E19" s="57" t="s">
        <v>114</v>
      </c>
      <c r="F19" s="21" t="s"/>
    </row>
    <row r="20" spans="1:6">
      <c r="A20" t="s">
        <v>227</v>
      </c>
      <c r="B20" s="21" t="s"/>
      <c r="C20" s="32" t="s">
        <v>199</v>
      </c>
      <c r="D20" s="83" t="s">
        <v>114</v>
      </c>
      <c r="E20" s="57" t="s">
        <v>114</v>
      </c>
      <c r="F20" s="21" t="s"/>
    </row>
    <row r="21" spans="1:6">
      <c r="A21" t="s">
        <v>228</v>
      </c>
      <c r="B21" s="29" t="s"/>
      <c r="C21" s="32" t="s">
        <v>199</v>
      </c>
      <c r="D21" s="83" t="s">
        <v>114</v>
      </c>
      <c r="E21" s="57" t="s">
        <v>114</v>
      </c>
      <c r="F21" s="29" t="s"/>
    </row>
    <row r="22" spans="1:6">
      <c r="A22" t="s">
        <v>229</v>
      </c>
      <c r="B22" t="s">
        <v>230</v>
      </c>
      <c r="C22" s="32" t="s">
        <v>199</v>
      </c>
      <c r="D22" s="83" t="s"/>
      <c r="E22" s="57" t="s">
        <v>114</v>
      </c>
      <c r="F22" t="s">
        <v>205</v>
      </c>
    </row>
    <row r="23" spans="1:6">
      <c r="A23" t="s">
        <v>50</v>
      </c>
      <c r="C23" s="32" t="s">
        <v>199</v>
      </c>
      <c r="D23" s="83" t="s">
        <v>114</v>
      </c>
      <c r="E23" s="57" t="s">
        <v>114</v>
      </c>
      <c r="F23" t="s">
        <v>205</v>
      </c>
    </row>
    <row r="24" spans="1:6">
      <c r="A24" t="s">
        <v>51</v>
      </c>
      <c r="C24" s="32" t="s">
        <v>199</v>
      </c>
      <c r="D24" s="83" t="s">
        <v>114</v>
      </c>
      <c r="E24" s="57" t="s">
        <v>114</v>
      </c>
      <c r="F24" t="s">
        <v>205</v>
      </c>
    </row>
    <row r="25" spans="1:6">
      <c r="A25" s="35" t="s">
        <v>231</v>
      </c>
      <c r="C25" s="32" t="s">
        <v>199</v>
      </c>
      <c r="D25" s="83" t="s">
        <v>114</v>
      </c>
      <c r="E25" s="57" t="s">
        <v>114</v>
      </c>
      <c r="F25" t="s">
        <v>205</v>
      </c>
    </row>
    <row r="26" spans="1:7">
      <c r="A26" s="51" t="s">
        <v>232</v>
      </c>
      <c r="B26" s="79" t="s">
        <v>233</v>
      </c>
      <c r="C26" s="31" t="s">
        <v>199</v>
      </c>
      <c r="D26" s="57" t="s"/>
      <c r="E26" s="57" t="s">
        <v>215</v>
      </c>
      <c r="F26" s="79" t="s">
        <v>205</v>
      </c>
      <c r="G26" t="s">
        <v>398</v>
      </c>
    </row>
    <row r="27" spans="1:7">
      <c r="A27" s="51" t="s">
        <v>79</v>
      </c>
      <c r="B27" s="29" t="s"/>
      <c r="C27" s="31" t="s">
        <v>199</v>
      </c>
      <c r="D27" s="57" t="s"/>
      <c r="E27" s="57" t="s">
        <v>114</v>
      </c>
      <c r="F27" s="29" t="s"/>
      <c r="G27" t="s">
        <v>234</v>
      </c>
    </row>
    <row r="28" spans="1:8">
      <c r="A28" s="51" t="s">
        <v>235</v>
      </c>
      <c r="C28" s="31" t="s">
        <v>199</v>
      </c>
      <c r="D28" s="57" t="s"/>
      <c r="E28" s="57" t="s">
        <v>215</v>
      </c>
      <c r="F28" t="s">
        <v>205</v>
      </c>
      <c r="G28" t="s">
        <v>399</v>
      </c>
      <c r="H28" t="s">
        <v>236</v>
      </c>
    </row>
    <row r="29" spans="1:7">
      <c r="A29" s="51" t="s">
        <v>80</v>
      </c>
      <c r="B29" s="79" t="s">
        <v>237</v>
      </c>
      <c r="C29" s="31" t="s">
        <v>199</v>
      </c>
      <c r="D29" s="57" t="s"/>
      <c r="E29" s="57" t="s">
        <v>114</v>
      </c>
      <c r="F29" s="79" t="s">
        <v>205</v>
      </c>
      <c r="G29" t="s">
        <v>400</v>
      </c>
    </row>
    <row r="30" spans="1:7">
      <c r="A30" s="51" t="s">
        <v>81</v>
      </c>
      <c r="B30" s="21" t="s"/>
      <c r="C30" s="31" t="s">
        <v>199</v>
      </c>
      <c r="D30" s="57" t="s"/>
      <c r="E30" s="57" t="s">
        <v>114</v>
      </c>
      <c r="F30" s="21" t="s"/>
      <c r="G30" t="s">
        <v>234</v>
      </c>
    </row>
    <row r="31" spans="1:6">
      <c r="A31" s="51" t="s">
        <v>82</v>
      </c>
      <c r="B31" s="21" t="s"/>
      <c r="C31" s="31" t="s">
        <v>199</v>
      </c>
      <c r="D31" s="57" t="s"/>
      <c r="E31" s="57" t="s">
        <v>114</v>
      </c>
      <c r="F31" s="21" t="s"/>
    </row>
    <row r="32" spans="1:6">
      <c r="A32" s="51" t="s">
        <v>83</v>
      </c>
      <c r="B32" s="29" t="s"/>
      <c r="C32" s="31" t="s">
        <v>199</v>
      </c>
      <c r="D32" s="57" t="s"/>
      <c r="E32" s="57" t="s">
        <v>114</v>
      </c>
      <c r="F32" s="29" t="s"/>
    </row>
    <row r="33" spans="1:5" s="36">
      <c r="A33" s="84" t="s">
        <v>238</v>
      </c>
      <c r="C33" s="85" t="s">
        <v>199</v>
      </c>
      <c r="D33" s="86" t="s"/>
      <c r="E33" s="86" t="s"/>
    </row>
    <row r="34" spans="1:5" s="36">
      <c r="A34" s="84" t="s">
        <v>239</v>
      </c>
      <c r="C34" s="85" t="s">
        <v>199</v>
      </c>
      <c r="D34" s="86" t="s"/>
      <c r="E34" s="86" t="s"/>
    </row>
    <row r="35" spans="1:5" s="36">
      <c r="A35" s="84" t="s">
        <v>240</v>
      </c>
      <c r="C35" s="85" t="s">
        <v>199</v>
      </c>
      <c r="D35" s="86" t="s"/>
      <c r="E35" s="86" t="s"/>
    </row>
    <row r="36" spans="1:7">
      <c r="A36" s="36" t="s">
        <v>241</v>
      </c>
      <c r="B36" s="87" t="s">
        <v>242</v>
      </c>
      <c r="C36" s="88" t="s">
        <v>199</v>
      </c>
      <c r="D36" s="89" t="s"/>
      <c r="E36" s="57" t="s"/>
      <c r="F36" s="36" t="s"/>
      <c r="G36" s="87" t="s">
        <v>401</v>
      </c>
    </row>
    <row r="37" spans="1:7">
      <c r="A37" s="36" t="s">
        <v>243</v>
      </c>
      <c r="B37" s="21" t="s"/>
      <c r="C37" s="88" t="s">
        <v>199</v>
      </c>
      <c r="D37" s="89" t="s"/>
      <c r="E37" s="57" t="s"/>
      <c r="F37" s="36" t="s"/>
      <c r="G37" s="21" t="s"/>
    </row>
    <row r="38" spans="1:7">
      <c r="A38" s="36" t="s">
        <v>244</v>
      </c>
      <c r="B38" s="21" t="s"/>
      <c r="C38" s="88" t="s">
        <v>199</v>
      </c>
      <c r="D38" s="89" t="s"/>
      <c r="E38" s="57" t="s"/>
      <c r="F38" s="36" t="s"/>
      <c r="G38" s="21" t="s"/>
    </row>
    <row r="39" spans="1:7">
      <c r="A39" s="36" t="s">
        <v>245</v>
      </c>
      <c r="B39" s="29" t="s"/>
      <c r="C39" s="88" t="s">
        <v>199</v>
      </c>
      <c r="D39" s="89" t="s"/>
      <c r="E39" s="57" t="s"/>
      <c r="F39" s="36" t="s"/>
      <c r="G39" s="29" t="s"/>
    </row>
    <row r="40" spans="3:5">
      <c r="C40" s="32" t="s"/>
      <c r="D40" s="83" t="s"/>
      <c r="E40" s="57" t="s"/>
    </row>
    <row r="41" spans="3:5">
      <c r="C41" s="32" t="s"/>
      <c r="D41" s="83" t="s"/>
      <c r="E41" s="57" t="s"/>
    </row>
    <row r="42" spans="3:5">
      <c r="C42" s="32" t="s"/>
      <c r="D42" s="83" t="s"/>
      <c r="E42" s="57" t="s"/>
    </row>
    <row r="43" spans="3:5">
      <c r="C43" s="32" t="s"/>
      <c r="D43" s="83" t="s"/>
      <c r="E43" s="57" t="s"/>
    </row>
    <row r="44" spans="3:5">
      <c r="C44" s="32" t="s"/>
      <c r="D44" s="83" t="s"/>
      <c r="E44" s="57" t="s"/>
    </row>
    <row r="45" spans="3:5">
      <c r="C45" s="32" t="s"/>
      <c r="D45" s="83" t="s"/>
      <c r="E45" s="57" t="s"/>
    </row>
    <row r="46" spans="3:5">
      <c r="C46" s="32" t="s"/>
      <c r="D46" s="83" t="s"/>
      <c r="E46" s="57" t="s"/>
    </row>
    <row r="47" spans="3:5">
      <c r="C47" s="32" t="s"/>
      <c r="D47" s="83" t="s"/>
      <c r="E47" s="57" t="s"/>
    </row>
    <row r="48" spans="3:5">
      <c r="C48" s="32" t="s"/>
      <c r="D48" s="83" t="s"/>
      <c r="E48" s="57" t="s"/>
    </row>
    <row r="49" spans="3:5">
      <c r="C49" s="32" t="s"/>
      <c r="D49" s="83" t="s"/>
      <c r="E49" s="57" t="s"/>
    </row>
    <row r="50" spans="3:5">
      <c r="C50" s="32" t="s"/>
      <c r="D50" s="83" t="s"/>
      <c r="E50" s="57" t="s"/>
    </row>
    <row r="51" spans="3:5">
      <c r="C51" s="32" t="s"/>
      <c r="D51" s="83" t="s"/>
      <c r="E51" s="57" t="s"/>
    </row>
    <row r="52" spans="3:5">
      <c r="C52" s="32" t="s"/>
      <c r="D52" s="83" t="s"/>
      <c r="E52" s="57" t="s"/>
    </row>
    <row r="53" spans="3:5">
      <c r="C53" s="32" t="s"/>
      <c r="D53" s="83" t="s"/>
      <c r="E53" s="57" t="s"/>
    </row>
    <row r="54" spans="3:5">
      <c r="C54" s="32" t="s"/>
      <c r="D54" s="83" t="s"/>
      <c r="E54" s="57" t="s"/>
    </row>
    <row r="55" spans="3:5">
      <c r="C55" s="32" t="s"/>
      <c r="D55" s="83" t="s"/>
      <c r="E55" s="57" t="s"/>
    </row>
    <row r="56" spans="3:5">
      <c r="C56" s="32" t="s"/>
      <c r="D56" s="83" t="s"/>
      <c r="E56" s="57" t="s"/>
    </row>
    <row r="57" spans="3:5">
      <c r="C57" s="32" t="s"/>
      <c r="D57" s="83" t="s"/>
      <c r="E57" s="57" t="s"/>
    </row>
    <row r="58" spans="3:5">
      <c r="C58" s="32" t="s"/>
      <c r="D58" s="83" t="s"/>
      <c r="E58" s="57" t="s"/>
    </row>
    <row r="59" spans="3:5">
      <c r="C59" s="32" t="s"/>
      <c r="D59" s="83" t="s"/>
      <c r="E59" s="57" t="s"/>
    </row>
    <row r="60" spans="3:5">
      <c r="C60" s="32" t="s"/>
      <c r="D60" s="83" t="s"/>
      <c r="E60" s="57" t="s"/>
    </row>
    <row r="61" spans="3:5">
      <c r="C61" s="32" t="s"/>
      <c r="D61" s="83" t="s"/>
      <c r="E61" s="57" t="s"/>
    </row>
    <row r="62" spans="3:5">
      <c r="C62" s="32" t="s"/>
      <c r="D62" s="83" t="s"/>
      <c r="E62" s="57" t="s"/>
    </row>
    <row r="63" spans="3:5">
      <c r="C63" s="32" t="s"/>
      <c r="D63" s="83" t="s"/>
      <c r="E63" s="57" t="s"/>
    </row>
    <row r="64" spans="3:5">
      <c r="C64" s="32" t="s"/>
      <c r="D64" s="83" t="s"/>
      <c r="E64" s="57" t="s"/>
    </row>
    <row r="65" spans="3:5">
      <c r="C65" s="32" t="s"/>
      <c r="D65" s="83" t="s"/>
      <c r="E65" s="57" t="s"/>
    </row>
    <row r="66" spans="3:5">
      <c r="C66" s="32" t="s"/>
      <c r="D66" s="83" t="s"/>
      <c r="E66" s="57" t="s"/>
    </row>
    <row r="67" spans="3:5">
      <c r="C67" s="32" t="s"/>
      <c r="D67" s="83" t="s"/>
      <c r="E67" s="57" t="s"/>
    </row>
    <row r="68" spans="3:5">
      <c r="C68" s="32" t="s"/>
      <c r="D68" s="83" t="s"/>
      <c r="E68" s="57" t="s"/>
    </row>
    <row r="69" spans="3:5">
      <c r="C69" s="32" t="s"/>
      <c r="D69" s="83" t="s"/>
      <c r="E69" s="57" t="s"/>
    </row>
    <row r="70" spans="3:5">
      <c r="C70" s="32" t="s"/>
      <c r="D70" s="83" t="s"/>
      <c r="E70" s="57" t="s"/>
    </row>
    <row r="71" spans="3:5">
      <c r="C71" s="32" t="s"/>
      <c r="D71" s="83" t="s"/>
      <c r="E71" s="57" t="s"/>
    </row>
    <row r="72" spans="3:5">
      <c r="C72" s="32" t="s"/>
      <c r="D72" s="83" t="s"/>
      <c r="E72" s="57" t="s"/>
    </row>
    <row r="73" spans="3:5">
      <c r="C73" s="32" t="s"/>
      <c r="D73" s="83" t="s"/>
      <c r="E73" s="57" t="s"/>
    </row>
    <row r="74" spans="3:5">
      <c r="C74" s="32" t="s"/>
      <c r="D74" s="83" t="s"/>
      <c r="E74" s="57" t="s"/>
    </row>
    <row r="75" spans="3:5">
      <c r="C75" s="32" t="s"/>
      <c r="D75" s="83" t="s"/>
      <c r="E75" s="57" t="s"/>
    </row>
    <row r="76" spans="3:5">
      <c r="C76" s="32" t="s"/>
      <c r="D76" s="83" t="s"/>
      <c r="E76" s="57" t="s"/>
    </row>
    <row r="77" spans="3:5">
      <c r="C77" s="32" t="s"/>
      <c r="D77" s="83" t="s"/>
      <c r="E77" s="57" t="s"/>
    </row>
    <row r="78" spans="3:5">
      <c r="C78" s="32" t="s"/>
      <c r="D78" s="83" t="s"/>
      <c r="E78" s="57" t="s"/>
    </row>
    <row r="79" spans="3:5">
      <c r="C79" s="32" t="s"/>
      <c r="D79" s="83" t="s"/>
      <c r="E79" s="57" t="s"/>
    </row>
    <row r="80" spans="3:5">
      <c r="C80" s="32" t="s"/>
      <c r="D80" s="83" t="s"/>
      <c r="E80" s="57" t="s"/>
    </row>
    <row r="81" spans="3:5">
      <c r="C81" s="32" t="s"/>
      <c r="D81" s="83" t="s"/>
      <c r="E81" s="57" t="s"/>
    </row>
    <row r="82" spans="3:5">
      <c r="C82" s="32" t="s"/>
      <c r="D82" s="83" t="s"/>
      <c r="E82" s="57" t="s"/>
    </row>
    <row r="83" spans="3:5">
      <c r="C83" s="32" t="s"/>
      <c r="D83" s="83" t="s"/>
      <c r="E83" s="57" t="s"/>
    </row>
    <row r="84" spans="3:5">
      <c r="C84" s="32" t="s"/>
      <c r="D84" s="83" t="s"/>
      <c r="E84" s="57" t="s"/>
    </row>
    <row r="85" spans="3:5">
      <c r="C85" s="32" t="s"/>
      <c r="D85" s="83" t="s"/>
      <c r="E85" s="57" t="s"/>
    </row>
    <row r="86" spans="3:5">
      <c r="C86" s="32" t="s"/>
      <c r="D86" s="83" t="s"/>
      <c r="E86" s="57" t="s"/>
    </row>
    <row r="87" spans="3:5">
      <c r="C87" s="32" t="s"/>
      <c r="D87" s="83" t="s"/>
      <c r="E87" s="57" t="s"/>
    </row>
    <row r="88" spans="3:5">
      <c r="C88" s="32" t="s"/>
      <c r="D88" s="83" t="s"/>
      <c r="E88" s="57" t="s"/>
    </row>
    <row r="89" spans="3:5">
      <c r="C89" s="32" t="s"/>
      <c r="D89" s="83" t="s"/>
      <c r="E89" s="57" t="s"/>
    </row>
    <row r="90" spans="3:5">
      <c r="C90" s="32" t="s"/>
      <c r="D90" s="83" t="s"/>
      <c r="E90" s="57" t="s"/>
    </row>
    <row r="91" spans="3:5">
      <c r="C91" s="32" t="s"/>
      <c r="D91" s="83" t="s"/>
      <c r="E91" s="57" t="s"/>
    </row>
    <row r="92" spans="3:5">
      <c r="C92" s="32" t="s"/>
      <c r="D92" s="83" t="s"/>
      <c r="E92" s="57" t="s"/>
    </row>
    <row r="93" spans="3:5">
      <c r="C93" s="32" t="s"/>
      <c r="D93" s="83" t="s"/>
      <c r="E93" s="57" t="s"/>
    </row>
    <row r="94" spans="3:5">
      <c r="C94" s="32" t="s"/>
      <c r="D94" s="83" t="s"/>
      <c r="E94" s="57" t="s"/>
    </row>
    <row r="95" spans="3:5">
      <c r="C95" s="32" t="s"/>
      <c r="D95" s="83" t="s"/>
      <c r="E95" s="57" t="s"/>
    </row>
    <row r="96" spans="3:5">
      <c r="C96" s="32" t="s"/>
      <c r="D96" s="83" t="s"/>
      <c r="E96" s="57" t="s"/>
    </row>
    <row r="97" spans="3:5">
      <c r="C97" s="32" t="s"/>
      <c r="D97" s="83" t="s"/>
      <c r="E97" s="57" t="s"/>
    </row>
    <row r="98" spans="3:5">
      <c r="C98" s="32" t="s"/>
      <c r="D98" s="83" t="s"/>
      <c r="E98" s="57" t="s"/>
    </row>
    <row r="99" spans="3:5">
      <c r="C99" s="32" t="s"/>
      <c r="D99" s="83" t="s"/>
      <c r="E99" s="57" t="s"/>
    </row>
    <row r="100" spans="3:5">
      <c r="C100" s="32" t="s"/>
      <c r="D100" s="83" t="s"/>
      <c r="E100" s="57" t="s"/>
    </row>
    <row r="101" spans="3:5">
      <c r="C101" s="32" t="s"/>
      <c r="D101" s="83" t="s"/>
      <c r="E101" s="57" t="s"/>
    </row>
    <row r="102" spans="3:5">
      <c r="C102" s="32" t="s"/>
      <c r="D102" s="83" t="s"/>
      <c r="E102" s="57" t="s"/>
    </row>
    <row r="103" spans="3:5">
      <c r="C103" s="32" t="s"/>
      <c r="D103" s="83" t="s"/>
      <c r="E103" s="57" t="s"/>
    </row>
    <row r="104" spans="3:5">
      <c r="C104" s="32" t="s"/>
      <c r="D104" s="83" t="s"/>
      <c r="E104" s="57" t="s"/>
    </row>
    <row r="105" spans="3:5">
      <c r="C105" s="32" t="s"/>
      <c r="D105" s="83" t="s"/>
      <c r="E105" s="57" t="s"/>
    </row>
    <row r="106" spans="3:5">
      <c r="C106" s="32" t="s"/>
      <c r="D106" s="83" t="s"/>
      <c r="E106" s="57" t="s"/>
    </row>
    <row r="107" spans="3:5">
      <c r="C107" s="32" t="s"/>
      <c r="D107" s="83" t="s"/>
      <c r="E107" s="57" t="s"/>
    </row>
    <row r="108" spans="3:5">
      <c r="C108" s="32" t="s"/>
      <c r="D108" s="83" t="s"/>
      <c r="E108" s="57" t="s"/>
    </row>
    <row r="109" spans="3:5">
      <c r="C109" s="32" t="s"/>
      <c r="D109" s="83" t="s"/>
      <c r="E109" s="57" t="s"/>
    </row>
    <row r="110" spans="3:5">
      <c r="C110" s="32" t="s"/>
      <c r="D110" s="83" t="s"/>
      <c r="E110" s="57" t="s"/>
    </row>
    <row r="111" spans="3:5">
      <c r="C111" s="32" t="s"/>
      <c r="D111" s="83" t="s"/>
      <c r="E111" s="57" t="s"/>
    </row>
    <row r="112" spans="3:5">
      <c r="C112" s="32" t="s"/>
      <c r="D112" s="83" t="s"/>
      <c r="E112" s="57" t="s"/>
    </row>
    <row r="113" spans="3:5">
      <c r="C113" s="32" t="s"/>
      <c r="D113" s="83" t="s"/>
      <c r="E113" s="57" t="s"/>
    </row>
    <row r="114" spans="3:5">
      <c r="C114" s="32" t="s"/>
      <c r="D114" s="83" t="s"/>
      <c r="E114" s="57" t="s"/>
    </row>
    <row r="115" spans="3:5">
      <c r="C115" s="32" t="s"/>
      <c r="D115" s="83" t="s"/>
      <c r="E115" s="57" t="s"/>
    </row>
    <row r="116" spans="3:5">
      <c r="C116" s="32" t="s"/>
      <c r="D116" s="83" t="s"/>
      <c r="E116" s="57" t="s"/>
    </row>
    <row r="117" spans="3:5">
      <c r="C117" s="32" t="s"/>
      <c r="D117" s="83" t="s"/>
      <c r="E117" s="57" t="s"/>
    </row>
    <row r="118" spans="3:5">
      <c r="C118" s="32" t="s"/>
      <c r="D118" s="83" t="s"/>
      <c r="E118" s="57" t="s"/>
    </row>
    <row r="119" spans="3:5">
      <c r="C119" s="32" t="s"/>
      <c r="D119" s="83" t="s"/>
      <c r="E119" s="57" t="s"/>
    </row>
    <row r="120" spans="3:5">
      <c r="C120" s="32" t="s"/>
      <c r="D120" s="83" t="s"/>
      <c r="E120" s="57" t="s"/>
    </row>
    <row r="121" spans="3:5">
      <c r="C121" s="32" t="s"/>
      <c r="D121" s="83" t="s"/>
      <c r="E121" s="57" t="s"/>
    </row>
    <row r="122" spans="3:5">
      <c r="C122" s="32" t="s"/>
      <c r="D122" s="83" t="s"/>
      <c r="E122" s="57" t="s"/>
    </row>
    <row r="123" spans="3:5">
      <c r="C123" s="32" t="s"/>
      <c r="D123" s="83" t="s"/>
      <c r="E123" s="57" t="s"/>
    </row>
    <row r="124" spans="3:5">
      <c r="C124" s="32" t="s"/>
      <c r="D124" s="83" t="s"/>
      <c r="E124" s="57" t="s"/>
    </row>
    <row r="125" spans="3:5">
      <c r="C125" s="32" t="s"/>
      <c r="D125" s="83" t="s"/>
      <c r="E125" s="57" t="s"/>
    </row>
    <row r="126" spans="3:5">
      <c r="C126" s="32" t="s"/>
      <c r="D126" s="83" t="s"/>
      <c r="E126" s="57" t="s"/>
    </row>
    <row r="127" spans="3:5">
      <c r="C127" s="32" t="s"/>
      <c r="D127" s="83" t="s"/>
      <c r="E127" s="57" t="s"/>
    </row>
    <row r="128" spans="3:5">
      <c r="C128" s="32" t="s"/>
      <c r="D128" s="83" t="s"/>
      <c r="E128" s="57" t="s"/>
    </row>
    <row r="129" spans="3:5">
      <c r="C129" s="32" t="s"/>
      <c r="D129" s="83" t="s"/>
      <c r="E129" s="57" t="s"/>
    </row>
    <row r="130" spans="3:5">
      <c r="C130" s="32" t="s"/>
      <c r="D130" s="83" t="s"/>
      <c r="E130" s="57" t="s"/>
    </row>
    <row r="131" spans="3:5">
      <c r="C131" s="32" t="s"/>
      <c r="D131" s="83" t="s"/>
      <c r="E131" s="57" t="s"/>
    </row>
    <row r="132" spans="3:5">
      <c r="C132" s="32" t="s"/>
      <c r="D132" s="83" t="s"/>
      <c r="E132" s="57" t="s"/>
    </row>
    <row r="133" spans="3:5">
      <c r="C133" s="32" t="s"/>
      <c r="D133" s="83" t="s"/>
      <c r="E133" s="57" t="s"/>
    </row>
    <row r="134" spans="3:5">
      <c r="C134" s="32" t="s"/>
      <c r="D134" s="83" t="s"/>
      <c r="E134" s="57" t="s"/>
    </row>
    <row r="135" spans="3:5">
      <c r="C135" s="32" t="s"/>
      <c r="D135" s="83" t="s"/>
      <c r="E135" s="57" t="s"/>
    </row>
    <row r="136" spans="3:5">
      <c r="C136" s="32" t="s"/>
      <c r="D136" s="83" t="s"/>
      <c r="E136" s="57" t="s"/>
    </row>
    <row r="137" spans="3:5">
      <c r="C137" s="32" t="s"/>
      <c r="D137" s="83" t="s"/>
      <c r="E137" s="57" t="s"/>
    </row>
    <row r="138" spans="3:5">
      <c r="C138" s="32" t="s"/>
      <c r="D138" s="83" t="s"/>
      <c r="E138" s="57" t="s"/>
    </row>
    <row r="139" spans="3:5">
      <c r="C139" s="32" t="s"/>
      <c r="D139" s="83" t="s"/>
      <c r="E139" s="57" t="s"/>
    </row>
    <row r="140" spans="3:5">
      <c r="C140" s="32" t="s"/>
      <c r="D140" s="83" t="s"/>
      <c r="E140" s="57" t="s"/>
    </row>
    <row r="141" spans="3:5">
      <c r="C141" s="32" t="s"/>
      <c r="D141" s="83" t="s"/>
      <c r="E141" s="57" t="s"/>
    </row>
    <row r="142" spans="3:5">
      <c r="C142" s="32" t="s"/>
      <c r="D142" s="83" t="s"/>
      <c r="E142" s="57" t="s"/>
    </row>
    <row r="143" spans="3:5">
      <c r="C143" s="32" t="s"/>
      <c r="D143" s="83" t="s"/>
      <c r="E143" s="57" t="s"/>
    </row>
    <row r="144" spans="3:5">
      <c r="C144" s="32" t="s"/>
      <c r="D144" s="83" t="s"/>
      <c r="E144" s="57" t="s"/>
    </row>
    <row r="145" spans="3:5">
      <c r="C145" s="32" t="s"/>
      <c r="D145" s="83" t="s"/>
      <c r="E145" s="57" t="s"/>
    </row>
    <row r="146" spans="3:5">
      <c r="C146" s="32" t="s"/>
      <c r="D146" s="83" t="s"/>
      <c r="E146" s="57" t="s"/>
    </row>
    <row r="147" spans="3:5">
      <c r="C147" s="32" t="s"/>
      <c r="D147" s="83" t="s"/>
      <c r="E147" s="57" t="s"/>
    </row>
    <row r="148" spans="3:5">
      <c r="C148" s="32" t="s"/>
      <c r="D148" s="83" t="s"/>
      <c r="E148" s="57" t="s"/>
    </row>
    <row r="149" spans="3:5">
      <c r="C149" s="32" t="s"/>
      <c r="D149" s="83" t="s"/>
      <c r="E149" s="57" t="s"/>
    </row>
    <row r="150" spans="3:5">
      <c r="C150" s="32" t="s"/>
      <c r="D150" s="83" t="s"/>
      <c r="E150" s="57" t="s"/>
    </row>
    <row r="151" spans="3:5">
      <c r="C151" s="32" t="s"/>
      <c r="D151" s="83" t="s"/>
      <c r="E151" s="57" t="s"/>
    </row>
    <row r="152" spans="3:5">
      <c r="C152" s="32" t="s"/>
      <c r="D152" s="83" t="s"/>
      <c r="E152" s="57" t="s"/>
    </row>
    <row r="153" spans="3:5">
      <c r="C153" s="32" t="s"/>
      <c r="D153" s="83" t="s"/>
      <c r="E153" s="57" t="s"/>
    </row>
    <row r="154" spans="3:5">
      <c r="C154" s="32" t="s"/>
      <c r="D154" s="83" t="s"/>
      <c r="E154" s="57" t="s"/>
    </row>
    <row r="155" spans="3:5">
      <c r="C155" s="32" t="s"/>
      <c r="D155" s="83" t="s"/>
      <c r="E155" s="57" t="s"/>
    </row>
    <row r="156" spans="3:5">
      <c r="C156" s="32" t="s"/>
      <c r="D156" s="83" t="s"/>
      <c r="E156" s="57" t="s"/>
    </row>
    <row r="157" spans="3:5">
      <c r="C157" s="32" t="s"/>
      <c r="D157" s="83" t="s"/>
      <c r="E157" s="57" t="s"/>
    </row>
    <row r="158" spans="3:5">
      <c r="C158" s="32" t="s"/>
      <c r="D158" s="83" t="s"/>
      <c r="E158" s="57" t="s"/>
    </row>
    <row r="159" spans="3:5">
      <c r="C159" s="32" t="s"/>
      <c r="D159" s="83" t="s"/>
      <c r="E159" s="57" t="s"/>
    </row>
    <row r="160" spans="3:5">
      <c r="C160" s="32" t="s"/>
      <c r="D160" s="83" t="s"/>
      <c r="E160" s="57" t="s"/>
    </row>
    <row r="161" spans="3:5">
      <c r="C161" s="32" t="s"/>
      <c r="D161" s="83" t="s"/>
      <c r="E161" s="57" t="s"/>
    </row>
    <row r="162" spans="3:5">
      <c r="C162" s="32" t="s"/>
      <c r="D162" s="83" t="s"/>
      <c r="E162" s="57" t="s"/>
    </row>
    <row r="163" spans="3:5">
      <c r="C163" s="32" t="s"/>
      <c r="D163" s="83" t="s"/>
      <c r="E163" s="57" t="s"/>
    </row>
    <row r="164" spans="3:5">
      <c r="C164" s="32" t="s"/>
      <c r="D164" s="83" t="s"/>
      <c r="E164" s="57" t="s"/>
    </row>
    <row r="165" spans="3:5">
      <c r="C165" s="32" t="s"/>
      <c r="D165" s="83" t="s"/>
      <c r="E165" s="57" t="s"/>
    </row>
    <row r="166" spans="3:5">
      <c r="C166" s="32" t="s"/>
      <c r="D166" s="83" t="s"/>
      <c r="E166" s="57" t="s"/>
    </row>
    <row r="167" spans="3:5">
      <c r="C167" s="32" t="s"/>
      <c r="D167" s="83" t="s"/>
      <c r="E167" s="57" t="s"/>
    </row>
    <row r="168" spans="3:5">
      <c r="C168" s="32" t="s"/>
      <c r="D168" s="83" t="s"/>
      <c r="E168" s="57" t="s"/>
    </row>
    <row r="169" spans="3:5">
      <c r="C169" s="32" t="s"/>
      <c r="D169" s="83" t="s"/>
      <c r="E169" s="57" t="s"/>
    </row>
    <row r="170" spans="3:5">
      <c r="C170" s="32" t="s"/>
      <c r="D170" s="83" t="s"/>
      <c r="E170" s="57" t="s"/>
    </row>
    <row r="171" spans="3:5">
      <c r="C171" s="32" t="s"/>
      <c r="D171" s="83" t="s"/>
      <c r="E171" s="57" t="s"/>
    </row>
    <row r="172" spans="3:5">
      <c r="C172" s="32" t="s"/>
      <c r="D172" s="83" t="s"/>
      <c r="E172" s="57" t="s"/>
    </row>
    <row r="173" spans="3:5">
      <c r="C173" s="32" t="s"/>
      <c r="D173" s="83" t="s"/>
      <c r="E173" s="57" t="s"/>
    </row>
    <row r="174" spans="3:5">
      <c r="C174" s="32" t="s"/>
      <c r="D174" s="83" t="s"/>
      <c r="E174" s="57" t="s"/>
    </row>
    <row r="175" spans="3:5">
      <c r="C175" s="32" t="s"/>
      <c r="D175" s="83" t="s"/>
      <c r="E175" s="57" t="s"/>
    </row>
    <row r="176" spans="3:5">
      <c r="C176" s="32" t="s"/>
      <c r="D176" s="83" t="s"/>
      <c r="E176" s="57" t="s"/>
    </row>
    <row r="177" spans="3:5">
      <c r="C177" s="32" t="s"/>
      <c r="D177" s="83" t="s"/>
      <c r="E177" s="57" t="s"/>
    </row>
    <row r="178" spans="3:5">
      <c r="C178" s="32" t="s"/>
      <c r="D178" s="83" t="s"/>
      <c r="E178" s="57" t="s"/>
    </row>
    <row r="179" spans="3:5">
      <c r="C179" s="32" t="s"/>
      <c r="D179" s="83" t="s"/>
      <c r="E179" s="57" t="s"/>
    </row>
    <row r="180" spans="3:5">
      <c r="C180" s="32" t="s"/>
      <c r="D180" s="83" t="s"/>
      <c r="E180" s="57" t="s"/>
    </row>
    <row r="181" spans="3:5">
      <c r="C181" s="32" t="s"/>
      <c r="D181" s="83" t="s"/>
      <c r="E181" s="57" t="s"/>
    </row>
    <row r="182" spans="3:5">
      <c r="C182" s="32" t="s"/>
      <c r="D182" s="83" t="s"/>
      <c r="E182" s="57" t="s"/>
    </row>
    <row r="183" spans="3:5">
      <c r="C183" s="32" t="s"/>
      <c r="D183" s="83" t="s"/>
      <c r="E183" s="57" t="s"/>
    </row>
    <row r="184" spans="3:5">
      <c r="C184" s="32" t="s"/>
      <c r="D184" s="83" t="s"/>
      <c r="E184" s="57" t="s"/>
    </row>
    <row r="185" spans="3:5">
      <c r="C185" s="32" t="s"/>
      <c r="D185" s="83" t="s"/>
      <c r="E185" s="57" t="s"/>
    </row>
    <row r="186" spans="3:5">
      <c r="C186" s="32" t="s"/>
      <c r="D186" s="83" t="s"/>
      <c r="E186" s="57" t="s"/>
    </row>
    <row r="187" spans="3:5">
      <c r="C187" s="32" t="s"/>
      <c r="D187" s="83" t="s"/>
      <c r="E187" s="57" t="s"/>
    </row>
    <row r="188" spans="3:5">
      <c r="C188" s="32" t="s"/>
      <c r="D188" s="83" t="s"/>
      <c r="E188" s="57" t="s"/>
    </row>
    <row r="189" spans="3:5">
      <c r="C189" s="32" t="s"/>
      <c r="D189" s="83" t="s"/>
      <c r="E189" s="57" t="s"/>
    </row>
    <row r="190" spans="3:5">
      <c r="C190" s="32" t="s"/>
      <c r="D190" s="83" t="s"/>
      <c r="E190" s="57" t="s"/>
    </row>
    <row r="191" spans="3:5">
      <c r="C191" s="32" t="s"/>
      <c r="D191" s="83" t="s"/>
      <c r="E191" s="57" t="s"/>
    </row>
    <row r="192" spans="3:5">
      <c r="C192" s="32" t="s"/>
      <c r="D192" s="83" t="s"/>
      <c r="E192" s="57" t="s"/>
    </row>
    <row r="193" spans="3:5">
      <c r="C193" s="32" t="s"/>
      <c r="D193" s="83" t="s"/>
      <c r="E193" s="57" t="s"/>
    </row>
    <row r="194" spans="3:5">
      <c r="C194" s="32" t="s"/>
      <c r="D194" s="83" t="s"/>
      <c r="E194" s="57" t="s"/>
    </row>
    <row r="195" spans="3:5">
      <c r="C195" s="32" t="s"/>
      <c r="D195" s="83" t="s"/>
      <c r="E195" s="57" t="s"/>
    </row>
    <row r="196" spans="3:5">
      <c r="C196" s="32" t="s"/>
      <c r="D196" s="83" t="s"/>
      <c r="E196" s="57" t="s"/>
    </row>
    <row r="197" spans="3:5">
      <c r="C197" s="32" t="s"/>
      <c r="D197" s="83" t="s"/>
      <c r="E197" s="57" t="s"/>
    </row>
    <row r="198" spans="3:5">
      <c r="C198" s="32" t="s"/>
      <c r="D198" s="83" t="s"/>
      <c r="E198" s="57" t="s"/>
    </row>
    <row r="199" spans="3:5">
      <c r="C199" s="32" t="s"/>
      <c r="D199" s="83" t="s"/>
      <c r="E199" s="57" t="s"/>
    </row>
    <row r="200" spans="3:5">
      <c r="C200" s="32" t="s"/>
      <c r="D200" s="83" t="s"/>
      <c r="E200" s="57" t="s"/>
    </row>
    <row r="201" spans="3:5">
      <c r="C201" s="32" t="s"/>
      <c r="D201" s="83" t="s"/>
      <c r="E201" s="57" t="s"/>
    </row>
    <row r="202" spans="3:5">
      <c r="C202" s="32" t="s"/>
      <c r="D202" s="83" t="s"/>
      <c r="E202" s="57" t="s"/>
    </row>
    <row r="203" spans="3:5">
      <c r="C203" s="32" t="s"/>
      <c r="D203" s="83" t="s"/>
      <c r="E203" s="57" t="s"/>
    </row>
    <row r="204" spans="3:5">
      <c r="C204" s="32" t="s"/>
      <c r="D204" s="83" t="s"/>
      <c r="E204" s="57" t="s"/>
    </row>
    <row r="205" spans="3:5">
      <c r="C205" s="32" t="s"/>
      <c r="D205" s="83" t="s"/>
      <c r="E205" s="57" t="s"/>
    </row>
    <row r="206" spans="3:5">
      <c r="C206" s="32" t="s"/>
      <c r="D206" s="83" t="s"/>
      <c r="E206" s="57" t="s"/>
    </row>
    <row r="207" spans="3:5">
      <c r="C207" s="32" t="s"/>
      <c r="D207" s="83" t="s"/>
      <c r="E207" s="57" t="s"/>
    </row>
    <row r="208" spans="3:5">
      <c r="C208" s="32" t="s"/>
      <c r="D208" s="83" t="s"/>
      <c r="E208" s="57" t="s"/>
    </row>
  </sheetData>
  <autoFilter ref="A1:E39">
    <sortState ref="A2:E39"/>
  </autoFilter>
  <mergeCells count="10">
    <mergeCell ref="B13:B14"/>
    <mergeCell ref="B15:B21"/>
    <mergeCell ref="B36:B39"/>
    <mergeCell ref="G36:G39"/>
    <mergeCell ref="B26:B27"/>
    <mergeCell ref="F15:F21"/>
    <mergeCell ref="F11:F14"/>
    <mergeCell ref="B29:B32"/>
    <mergeCell ref="F26:F27"/>
    <mergeCell ref="F29:F32"/>
  </mergeCells>
  <dataValidations>
    <dataValidation type="list" errorStyle="stop" allowBlank="true" showDropDown="false" showInputMessage="true" showErrorMessage="true" prompt="" sqref="E1:E1048576">
      <formula1>"✅,❌,▶️,🔁,"</formula1>
    </dataValidation>
    <dataValidation type="list" errorStyle="stop" allowBlank="true" showDropDown="false" showInputMessage="true" showErrorMessage="true" prompt="" sqref="C1:C1048576">
      <formula1>"闭源,开源,"</formula1>
    </dataValidation>
    <dataValidation type="list" errorStyle="stop" allowBlank="true" showDropDown="false" showInputMessage="true" showErrorMessage="true" prompt="" sqref="D1:D1048576">
      <formula1>"✅,❌,▶️,"</formula1>
    </dataValidation>
  </dataValidations>
  <hyperlinks>
    <hyperlink ref="H1" r:id="rId0"/>
    <hyperlink ref="F11" r:id="rId1"/>
    <hyperlink ref="G12" r:id="rId2"/>
    <hyperlink ref="F15" r:id="rId3"/>
    <hyperlink ref="G26" r:id="rId4"/>
    <hyperlink ref="G28" r:id="rId5"/>
    <hyperlink ref="G29" r:id="rId6"/>
    <hyperlink ref="G36" r:id="rId7"/>
  </hyperlinks>
</worksheet>
</file>

<file path=xl/worksheets/sheet11.xml><?xml version="1.0" encoding="utf-8"?>
<worksheet xmlns="http://schemas.openxmlformats.org/spreadsheetml/2006/main">
  <sheetPr codeName="指标">
    <tabColor rgb="FFFFFFFF"/>
  </sheetPr>
  <dimension ref="B179"/>
  <sheetViews>
    <sheetView showGridLines="true" workbookViewId="0">
      <pane ySplit="2" topLeftCell="A3" state="frozen"/>
    </sheetView>
  </sheetViews>
  <cols>
    <col min="1" max="1" width="18.2109" customWidth="true"/>
    <col min="2" max="2" width="11.7344" customWidth="true"/>
    <col min="3" max="3" width="10.5234" style="160" customWidth="true"/>
  </cols>
  <sheetData>
    <row r="1" spans="1:11" s="34">
      <c r="A1" s="124" t="s">
        <v>1</v>
      </c>
      <c r="B1" s="124" t="s">
        <v>3</v>
      </c>
      <c r="C1" s="125" t="s">
        <v>4</v>
      </c>
      <c r="D1" s="126" t="s">
        <v>5</v>
      </c>
      <c r="E1" s="23" t="s"/>
      <c r="F1" s="23" t="s"/>
      <c r="G1" s="23" t="s"/>
      <c r="H1" s="127" t="s">
        <v>6</v>
      </c>
      <c r="I1" s="23" t="s"/>
      <c r="J1" s="23" t="s"/>
      <c r="K1" s="23" t="s"/>
    </row>
    <row r="2" spans="1:11" s="34">
      <c r="A2" s="23" t="s"/>
      <c r="B2" s="23" t="s"/>
      <c r="C2" s="23" t="s"/>
      <c r="D2" s="128" t="s">
        <v>16</v>
      </c>
      <c r="E2" s="128" t="s">
        <v>17</v>
      </c>
      <c r="F2" s="128" t="s">
        <v>18</v>
      </c>
      <c r="G2" s="128" t="s">
        <v>19</v>
      </c>
      <c r="H2" s="129">
        <v>0</v>
      </c>
      <c r="I2" s="129">
        <v>1</v>
      </c>
      <c r="J2" s="129">
        <v>2</v>
      </c>
      <c r="K2" s="129">
        <v>3</v>
      </c>
    </row>
    <row r="3" spans="1:11">
      <c r="A3" t="s">
        <v>53</v>
      </c>
      <c r="B3" s="31" t="s">
        <v>49</v>
      </c>
      <c r="C3" s="43">
        <v>0.711887</v>
      </c>
      <c r="D3" s="43">
        <v>0.558194</v>
      </c>
      <c r="E3" s="43">
        <v>0.744382</v>
      </c>
      <c r="F3" s="43">
        <v>0.895899</v>
      </c>
      <c r="G3" s="43">
        <v>0.698734</v>
      </c>
      <c r="H3" s="43">
        <v>0.715025</v>
      </c>
      <c r="I3" s="43">
        <v>0.693452</v>
      </c>
      <c r="J3" s="43">
        <v>0.74375</v>
      </c>
      <c r="K3" s="43">
        <v>0.688976</v>
      </c>
    </row>
    <row r="4" spans="1:11">
      <c r="A4" t="s">
        <v>47</v>
      </c>
      <c r="B4" s="31" t="s">
        <v>44</v>
      </c>
      <c r="C4" s="43">
        <v>0.686366</v>
      </c>
      <c r="D4" s="43">
        <v>0.434679</v>
      </c>
      <c r="E4" s="43">
        <v>0.63764</v>
      </c>
      <c r="F4" s="43">
        <v>0.908517</v>
      </c>
      <c r="G4" s="43">
        <v>0.820253</v>
      </c>
      <c r="H4" s="43">
        <v>0.699481</v>
      </c>
      <c r="I4" s="43">
        <v>0.6875</v>
      </c>
      <c r="J4" s="43">
        <v>0.68125</v>
      </c>
      <c r="K4" s="43">
        <v>0.661417</v>
      </c>
    </row>
    <row r="5" spans="2:11">
      <c r="B5" s="31" t="s">
        <v>49</v>
      </c>
      <c r="C5" s="43">
        <v>0.668905</v>
      </c>
      <c r="D5" s="43">
        <v>0.427553</v>
      </c>
      <c r="E5" s="43">
        <v>0.66573</v>
      </c>
      <c r="F5" s="43">
        <v>0.88328</v>
      </c>
      <c r="G5" s="43">
        <v>0.756962</v>
      </c>
      <c r="H5" s="43">
        <v>0.677029</v>
      </c>
      <c r="I5" s="43">
        <v>0.690476</v>
      </c>
      <c r="J5" s="43">
        <v>0.64375</v>
      </c>
      <c r="K5" s="43">
        <v>0.653543</v>
      </c>
    </row>
    <row r="6" spans="2:11">
      <c r="B6" s="31" t="s">
        <v>58</v>
      </c>
      <c r="C6" s="33">
        <f>=C5-C4</f>
        <v>-0.017461</v>
      </c>
      <c r="D6" s="33">
        <f>=D5-D4</f>
        <v>-0.007126</v>
      </c>
      <c r="E6" s="33">
        <f>=E5-E4</f>
        <v>0.02809</v>
      </c>
      <c r="F6" s="33">
        <f>=F5-F4</f>
        <v>-0.025237</v>
      </c>
      <c r="G6" s="33">
        <f>=G5-G4</f>
        <v>-0.063291</v>
      </c>
      <c r="H6" s="33">
        <f>=H5-H4</f>
        <v>-0.022452</v>
      </c>
      <c r="I6" s="33">
        <f>=I5-I4</f>
        <v>0.002976</v>
      </c>
      <c r="J6" s="33">
        <f>=J5-J4</f>
        <v>-0.0375</v>
      </c>
      <c r="K6" s="33">
        <f>=K5-K4</f>
        <v>-0.007874</v>
      </c>
    </row>
    <row r="7" spans="1:11">
      <c r="A7" t="s">
        <v>50</v>
      </c>
      <c r="B7" s="31" t="s">
        <v>44</v>
      </c>
      <c r="C7" s="43">
        <v>0.436534</v>
      </c>
      <c r="D7" s="43">
        <v>0.313539</v>
      </c>
      <c r="E7" s="43">
        <v>0.432584</v>
      </c>
      <c r="F7" s="43">
        <v>0.88328</v>
      </c>
      <c r="G7" s="43">
        <v>0.212658</v>
      </c>
      <c r="H7" s="43">
        <v>0.385146</v>
      </c>
      <c r="I7" s="43">
        <v>0.485119</v>
      </c>
      <c r="J7" s="43">
        <v>0.48125</v>
      </c>
      <c r="K7" s="43">
        <v>0.43307</v>
      </c>
    </row>
    <row r="8" spans="2:11">
      <c r="B8" s="31" t="s">
        <v>49</v>
      </c>
      <c r="C8" s="43">
        <v>0.543989</v>
      </c>
      <c r="D8" s="43">
        <v>0.36342</v>
      </c>
      <c r="E8" s="43">
        <v>0.424157</v>
      </c>
      <c r="F8" s="43">
        <v>0.930599</v>
      </c>
      <c r="G8" s="43">
        <v>0.534177</v>
      </c>
      <c r="H8" s="43">
        <v>0.583765</v>
      </c>
      <c r="I8" s="43">
        <v>0.547619</v>
      </c>
      <c r="J8" s="43">
        <v>0.553125</v>
      </c>
      <c r="K8" s="33">
        <v>0.437007</v>
      </c>
    </row>
    <row r="9" spans="2:11">
      <c r="B9" s="31" t="s">
        <v>58</v>
      </c>
      <c r="C9" s="33">
        <f>=C8-C7</f>
        <v>0.107455</v>
      </c>
      <c r="D9" s="33">
        <f>=D8-D7</f>
        <v>0.049881</v>
      </c>
      <c r="E9" s="33">
        <f>=E8-E7</f>
        <v>-0.008427</v>
      </c>
      <c r="F9" s="33">
        <f>=F8-F7</f>
        <v>0.047319</v>
      </c>
      <c r="G9" s="33">
        <f>=G8-G7</f>
        <v>0.321519</v>
      </c>
      <c r="H9" s="33">
        <f>=H8-H7</f>
        <v>0.198619</v>
      </c>
      <c r="I9" s="33">
        <f>=I8-I7</f>
        <v>0.0625</v>
      </c>
      <c r="J9" s="33">
        <f>=J8-J7</f>
        <v>0.071875</v>
      </c>
      <c r="K9" s="33">
        <f>=K8-K7</f>
        <v>0.003937</v>
      </c>
    </row>
    <row r="10" spans="2:11">
      <c r="B10" s="31" t="s"/>
      <c r="C10" s="73" t="s"/>
      <c r="D10" s="73" t="s"/>
      <c r="E10" s="73" t="s"/>
      <c r="F10" s="73" t="s"/>
      <c r="G10" s="73" t="s"/>
      <c r="H10" s="73" t="s"/>
      <c r="I10" s="73" t="s"/>
      <c r="J10" s="73" t="s"/>
      <c r="K10" s="33" t="s"/>
    </row>
    <row r="11" spans="2:2">
      <c r="B11" s="31" t="s"/>
    </row>
    <row r="12" spans="2:2">
      <c r="B12" s="31" t="s"/>
    </row>
    <row r="13" spans="2:2">
      <c r="B13" s="31" t="s"/>
    </row>
    <row r="14" spans="2:2">
      <c r="B14" s="31" t="s"/>
    </row>
    <row r="15" spans="2:2">
      <c r="B15" s="31" t="s"/>
    </row>
    <row r="16" spans="2:2">
      <c r="B16" s="31" t="s"/>
    </row>
    <row r="17" spans="2:2">
      <c r="B17" s="31" t="s"/>
    </row>
    <row r="18" spans="2:2">
      <c r="B18" s="31" t="s"/>
    </row>
    <row r="19" spans="2:2">
      <c r="B19" s="31" t="s"/>
    </row>
    <row r="20" spans="2:2">
      <c r="B20" s="31" t="s"/>
    </row>
    <row r="21" spans="2:2">
      <c r="B21" s="31" t="s"/>
    </row>
    <row r="22" spans="2:2">
      <c r="B22" s="31" t="s"/>
    </row>
    <row r="23" spans="2:2">
      <c r="B23" s="31" t="s"/>
    </row>
    <row r="24" spans="2:2">
      <c r="B24" s="31" t="s"/>
    </row>
    <row r="25" spans="2:2">
      <c r="B25" s="31" t="s"/>
    </row>
    <row r="26" spans="2:2">
      <c r="B26" s="31" t="s"/>
    </row>
    <row r="27" spans="2:2">
      <c r="B27" s="31" t="s"/>
    </row>
    <row r="28" spans="2:2">
      <c r="B28" s="31" t="s"/>
    </row>
    <row r="29" spans="2:2">
      <c r="B29" s="31" t="s"/>
    </row>
    <row r="30" spans="2:2">
      <c r="B30" s="31" t="s"/>
    </row>
    <row r="31" spans="2:2">
      <c r="B31" s="31" t="s"/>
    </row>
    <row r="32" spans="2:2">
      <c r="B32" s="31" t="s"/>
    </row>
    <row r="33" spans="2:2">
      <c r="B33" s="31" t="s"/>
    </row>
    <row r="34" spans="2:2">
      <c r="B34" s="31" t="s"/>
    </row>
    <row r="35" spans="2:2">
      <c r="B35" s="31" t="s"/>
    </row>
    <row r="36" spans="2:2">
      <c r="B36" s="31" t="s"/>
    </row>
    <row r="37" spans="2:2">
      <c r="B37" s="31" t="s"/>
    </row>
    <row r="38" spans="2:2">
      <c r="B38" s="31" t="s"/>
    </row>
    <row r="39" spans="2:2">
      <c r="B39" s="31" t="s"/>
    </row>
    <row r="40" spans="2:2">
      <c r="B40" s="31" t="s"/>
    </row>
    <row r="41" spans="2:2">
      <c r="B41" s="31" t="s"/>
    </row>
    <row r="42" spans="2:2">
      <c r="B42" s="31" t="s"/>
    </row>
    <row r="43" spans="2:2">
      <c r="B43" s="31" t="s"/>
    </row>
    <row r="44" spans="2:2">
      <c r="B44" s="31" t="s"/>
    </row>
    <row r="45" spans="2:2">
      <c r="B45" s="31" t="s"/>
    </row>
    <row r="46" spans="2:2">
      <c r="B46" s="31" t="s"/>
    </row>
    <row r="47" spans="2:2">
      <c r="B47" s="31" t="s"/>
    </row>
    <row r="48" spans="2:2">
      <c r="B48" s="31" t="s"/>
    </row>
    <row r="49" spans="2:2">
      <c r="B49" s="31" t="s"/>
    </row>
    <row r="50" spans="2:2">
      <c r="B50" s="31" t="s"/>
    </row>
    <row r="51" spans="2:2">
      <c r="B51" s="31" t="s"/>
    </row>
    <row r="52" spans="2:2">
      <c r="B52" s="31" t="s"/>
    </row>
    <row r="53" spans="2:2">
      <c r="B53" s="31" t="s"/>
    </row>
    <row r="54" spans="2:2">
      <c r="B54" s="31" t="s"/>
    </row>
    <row r="55" spans="2:2">
      <c r="B55" s="31" t="s"/>
    </row>
    <row r="56" spans="2:2">
      <c r="B56" s="31" t="s"/>
    </row>
    <row r="57" spans="2:2">
      <c r="B57" s="31" t="s"/>
    </row>
    <row r="58" spans="2:2">
      <c r="B58" s="31" t="s"/>
    </row>
    <row r="59" spans="2:2">
      <c r="B59" s="31" t="s"/>
    </row>
    <row r="60" spans="2:2">
      <c r="B60" s="31" t="s"/>
    </row>
    <row r="61" spans="2:2">
      <c r="B61" s="31" t="s"/>
    </row>
    <row r="62" spans="2:2">
      <c r="B62" s="31" t="s"/>
    </row>
    <row r="63" spans="2:2">
      <c r="B63" s="31" t="s"/>
    </row>
    <row r="64" spans="2:2">
      <c r="B64" s="31" t="s"/>
    </row>
    <row r="65" spans="2:2">
      <c r="B65" s="31" t="s"/>
    </row>
    <row r="66" spans="2:2">
      <c r="B66" s="31" t="s"/>
    </row>
    <row r="67" spans="2:2">
      <c r="B67" s="31" t="s"/>
    </row>
    <row r="68" spans="2:2">
      <c r="B68" s="31" t="s"/>
    </row>
    <row r="69" spans="2:2">
      <c r="B69" s="31" t="s"/>
    </row>
    <row r="70" spans="2:2">
      <c r="B70" s="31" t="s"/>
    </row>
    <row r="71" spans="2:2">
      <c r="B71" s="31" t="s"/>
    </row>
    <row r="72" spans="2:2">
      <c r="B72" s="31" t="s"/>
    </row>
    <row r="73" spans="2:2">
      <c r="B73" s="31" t="s"/>
    </row>
    <row r="74" spans="2:2">
      <c r="B74" s="31" t="s"/>
    </row>
    <row r="75" spans="2:2">
      <c r="B75" s="31" t="s"/>
    </row>
    <row r="76" spans="2:2">
      <c r="B76" s="31" t="s"/>
    </row>
    <row r="77" spans="2:2">
      <c r="B77" s="31" t="s"/>
    </row>
    <row r="78" spans="2:2">
      <c r="B78" s="31" t="s"/>
    </row>
    <row r="79" spans="2:2">
      <c r="B79" s="31" t="s"/>
    </row>
    <row r="80" spans="2:2">
      <c r="B80" s="31" t="s"/>
    </row>
    <row r="81" spans="2:2">
      <c r="B81" s="31" t="s"/>
    </row>
    <row r="82" spans="2:2">
      <c r="B82" s="31" t="s"/>
    </row>
    <row r="83" spans="2:2">
      <c r="B83" s="31" t="s"/>
    </row>
    <row r="84" spans="2:2">
      <c r="B84" s="31" t="s"/>
    </row>
    <row r="85" spans="2:2">
      <c r="B85" s="31" t="s"/>
    </row>
    <row r="86" spans="2:2">
      <c r="B86" s="31" t="s"/>
    </row>
    <row r="87" spans="2:2">
      <c r="B87" s="31" t="s"/>
    </row>
    <row r="88" spans="2:2">
      <c r="B88" s="31" t="s"/>
    </row>
    <row r="89" spans="2:2">
      <c r="B89" s="31" t="s"/>
    </row>
    <row r="90" spans="2:2">
      <c r="B90" s="31" t="s"/>
    </row>
    <row r="91" spans="2:2">
      <c r="B91" s="31" t="s"/>
    </row>
    <row r="92" spans="2:2">
      <c r="B92" s="31" t="s"/>
    </row>
    <row r="93" spans="2:2">
      <c r="B93" s="31" t="s"/>
    </row>
    <row r="94" spans="2:2">
      <c r="B94" s="31" t="s"/>
    </row>
    <row r="95" spans="2:2">
      <c r="B95" s="31" t="s"/>
    </row>
    <row r="96" spans="2:2">
      <c r="B96" s="31" t="s"/>
    </row>
    <row r="97" spans="2:2">
      <c r="B97" s="31" t="s"/>
    </row>
    <row r="98" spans="2:2">
      <c r="B98" s="31" t="s"/>
    </row>
    <row r="99" spans="2:2">
      <c r="B99" s="31" t="s"/>
    </row>
    <row r="100" spans="2:2">
      <c r="B100" s="31" t="s"/>
    </row>
    <row r="101" spans="2:2">
      <c r="B101" s="31" t="s"/>
    </row>
    <row r="102" spans="2:2">
      <c r="B102" s="31" t="s"/>
    </row>
    <row r="103" spans="2:2">
      <c r="B103" s="31" t="s"/>
    </row>
    <row r="104" spans="2:2">
      <c r="B104" s="31" t="s"/>
    </row>
    <row r="105" spans="2:2">
      <c r="B105" s="31" t="s"/>
    </row>
    <row r="106" spans="2:2">
      <c r="B106" s="31" t="s"/>
    </row>
    <row r="107" spans="2:2">
      <c r="B107" s="31" t="s"/>
    </row>
    <row r="108" spans="2:2">
      <c r="B108" s="31" t="s"/>
    </row>
    <row r="109" spans="2:2">
      <c r="B109" s="31" t="s"/>
    </row>
    <row r="110" spans="2:2">
      <c r="B110" s="31" t="s"/>
    </row>
    <row r="111" spans="2:2">
      <c r="B111" s="31" t="s"/>
    </row>
    <row r="112" spans="2:2">
      <c r="B112" s="31" t="s"/>
    </row>
    <row r="113" spans="2:2">
      <c r="B113" s="31" t="s"/>
    </row>
    <row r="114" spans="2:2">
      <c r="B114" s="31" t="s"/>
    </row>
    <row r="115" spans="2:2">
      <c r="B115" s="31" t="s"/>
    </row>
    <row r="116" spans="2:2">
      <c r="B116" s="31" t="s"/>
    </row>
    <row r="117" spans="2:2">
      <c r="B117" s="31" t="s"/>
    </row>
    <row r="118" spans="2:2">
      <c r="B118" s="31" t="s"/>
    </row>
    <row r="119" spans="2:2">
      <c r="B119" s="31" t="s"/>
    </row>
    <row r="120" spans="2:2">
      <c r="B120" s="31" t="s"/>
    </row>
    <row r="121" spans="2:2">
      <c r="B121" s="31" t="s"/>
    </row>
    <row r="122" spans="2:2">
      <c r="B122" s="31" t="s"/>
    </row>
    <row r="123" spans="2:2">
      <c r="B123" s="31" t="s"/>
    </row>
    <row r="124" spans="2:2">
      <c r="B124" s="31" t="s"/>
    </row>
    <row r="125" spans="2:2">
      <c r="B125" s="31" t="s"/>
    </row>
    <row r="126" spans="2:2">
      <c r="B126" s="31" t="s"/>
    </row>
    <row r="127" spans="2:2">
      <c r="B127" s="31" t="s"/>
    </row>
    <row r="128" spans="2:2">
      <c r="B128" s="31" t="s"/>
    </row>
    <row r="129" spans="2:2">
      <c r="B129" s="31" t="s"/>
    </row>
    <row r="130" spans="2:2">
      <c r="B130" s="31" t="s"/>
    </row>
    <row r="131" spans="2:2">
      <c r="B131" s="31" t="s"/>
    </row>
    <row r="132" spans="2:2">
      <c r="B132" s="31" t="s"/>
    </row>
    <row r="133" spans="2:2">
      <c r="B133" s="31" t="s"/>
    </row>
    <row r="134" spans="2:2">
      <c r="B134" s="31" t="s"/>
    </row>
    <row r="135" spans="2:2">
      <c r="B135" s="31" t="s"/>
    </row>
    <row r="136" spans="2:2">
      <c r="B136" s="31" t="s"/>
    </row>
    <row r="137" spans="2:2">
      <c r="B137" s="31" t="s"/>
    </row>
    <row r="138" spans="2:2">
      <c r="B138" s="31" t="s"/>
    </row>
    <row r="139" spans="2:2">
      <c r="B139" s="31" t="s"/>
    </row>
    <row r="140" spans="2:2">
      <c r="B140" s="31" t="s"/>
    </row>
    <row r="141" spans="2:2">
      <c r="B141" s="31" t="s"/>
    </row>
    <row r="142" spans="2:2">
      <c r="B142" s="31" t="s"/>
    </row>
    <row r="143" spans="2:2">
      <c r="B143" s="31" t="s"/>
    </row>
    <row r="144" spans="2:2">
      <c r="B144" s="31" t="s"/>
    </row>
    <row r="145" spans="2:2">
      <c r="B145" s="31" t="s"/>
    </row>
    <row r="146" spans="2:2">
      <c r="B146" s="31" t="s"/>
    </row>
    <row r="147" spans="2:2">
      <c r="B147" s="31" t="s"/>
    </row>
    <row r="148" spans="2:2">
      <c r="B148" s="31" t="s"/>
    </row>
    <row r="149" spans="2:2">
      <c r="B149" s="31" t="s"/>
    </row>
    <row r="150" spans="2:2">
      <c r="B150" s="31" t="s"/>
    </row>
    <row r="151" spans="2:2">
      <c r="B151" s="31" t="s"/>
    </row>
    <row r="152" spans="2:2">
      <c r="B152" s="31" t="s"/>
    </row>
    <row r="153" spans="2:2">
      <c r="B153" s="31" t="s"/>
    </row>
    <row r="154" spans="2:2">
      <c r="B154" s="31" t="s"/>
    </row>
    <row r="155" spans="2:2">
      <c r="B155" s="31" t="s"/>
    </row>
    <row r="156" spans="2:2">
      <c r="B156" s="31" t="s"/>
    </row>
    <row r="157" spans="2:2">
      <c r="B157" s="31" t="s"/>
    </row>
    <row r="158" spans="2:2">
      <c r="B158" s="31" t="s"/>
    </row>
    <row r="159" spans="2:2">
      <c r="B159" s="31" t="s"/>
    </row>
    <row r="160" spans="2:2">
      <c r="B160" s="31" t="s"/>
    </row>
    <row r="161" spans="2:2">
      <c r="B161" s="31" t="s"/>
    </row>
    <row r="162" spans="2:2">
      <c r="B162" s="31" t="s"/>
    </row>
    <row r="163" spans="2:2">
      <c r="B163" s="31" t="s"/>
    </row>
    <row r="164" spans="2:2">
      <c r="B164" s="31" t="s"/>
    </row>
    <row r="165" spans="2:2">
      <c r="B165" s="31" t="s"/>
    </row>
    <row r="166" spans="2:2">
      <c r="B166" s="31" t="s"/>
    </row>
    <row r="167" spans="2:2">
      <c r="B167" s="31" t="s"/>
    </row>
    <row r="168" spans="2:2">
      <c r="B168" s="31" t="s"/>
    </row>
    <row r="169" spans="2:2">
      <c r="B169" s="31" t="s"/>
    </row>
    <row r="170" spans="2:2">
      <c r="B170" s="31" t="s"/>
    </row>
    <row r="171" spans="2:2">
      <c r="B171" s="31" t="s"/>
    </row>
    <row r="172" spans="2:2">
      <c r="B172" s="31" t="s"/>
    </row>
    <row r="173" spans="2:2">
      <c r="B173" s="31" t="s"/>
    </row>
    <row r="174" spans="2:2">
      <c r="B174" s="31" t="s"/>
    </row>
    <row r="175" spans="2:2">
      <c r="B175" s="31" t="s"/>
    </row>
    <row r="176" spans="2:2">
      <c r="B176" s="31" t="s"/>
    </row>
    <row r="177" spans="2:2">
      <c r="B177" s="31" t="s"/>
    </row>
    <row r="178" spans="2:2">
      <c r="B178" s="31" t="s"/>
    </row>
    <row r="179" spans="2:2">
      <c r="B179" s="31" t="s"/>
    </row>
  </sheetData>
  <mergeCells count="5">
    <mergeCell ref="D1:G1"/>
    <mergeCell ref="H1:K1"/>
    <mergeCell ref="A1:A2"/>
    <mergeCell ref="B1:B2"/>
    <mergeCell ref="C1:C2"/>
  </mergeCells>
  <dataValidations>
    <dataValidation type="list" errorStyle="stop" allowBlank="true" showDropDown="false" showInputMessage="true" showErrorMessage="true" prompt="" sqref="B1:B1048576">
      <formula1>"中文,英文,diff,"</formula1>
    </dataValidation>
  </dataValidations>
</worksheet>
</file>

<file path=xl/worksheets/sheet12.xml><?xml version="1.0" encoding="utf-8"?>
<worksheet xmlns="http://schemas.openxmlformats.org/spreadsheetml/2006/main">
  <sheetPr codeName="细类目"/>
  <dimension ref="G44"/>
  <sheetViews>
    <sheetView showGridLines="true" workbookViewId="0"/>
  </sheetViews>
  <sheetData>
    <row r="1" spans="1:7">
      <c r="A1" s="58" t="s">
        <v>43</v>
      </c>
      <c r="B1" s="59" t="s"/>
      <c r="C1" s="59" t="s"/>
      <c r="D1" s="59" t="s"/>
      <c r="E1" s="59" t="s"/>
      <c r="F1" s="59" t="s"/>
      <c r="G1" s="60" t="s"/>
    </row>
    <row r="2" spans="1:7">
      <c r="A2" s="61" t="s">
        <v>168</v>
      </c>
      <c r="B2" s="62" t="s">
        <v>5</v>
      </c>
      <c r="C2" s="59" t="s"/>
      <c r="D2" s="59" t="s"/>
      <c r="E2" s="59" t="s"/>
      <c r="F2" s="59" t="s"/>
      <c r="G2" s="60" t="s"/>
    </row>
    <row r="3" spans="1:7">
      <c r="A3" s="53" t="s"/>
      <c r="B3" s="63" t="s">
        <v>16</v>
      </c>
      <c r="C3" s="63" t="s">
        <v>17</v>
      </c>
      <c r="D3" s="63" t="s">
        <v>18</v>
      </c>
      <c r="E3" s="63" t="s">
        <v>19</v>
      </c>
      <c r="F3" s="63" t="s">
        <v>4</v>
      </c>
      <c r="G3" s="63" t="s">
        <v>169</v>
      </c>
    </row>
    <row r="4" spans="1:7">
      <c r="A4" s="64">
        <v>1</v>
      </c>
      <c r="B4" s="65">
        <v>0.8629</v>
      </c>
      <c r="C4" s="65">
        <v>0.8424</v>
      </c>
      <c r="D4" s="65">
        <v>0.9885</v>
      </c>
      <c r="E4" s="65">
        <v>0.8432</v>
      </c>
      <c r="F4" s="66">
        <v>0.868965517241379</v>
      </c>
      <c r="G4" s="54">
        <v>581</v>
      </c>
    </row>
    <row r="5" spans="1:7">
      <c r="A5" s="67">
        <v>2</v>
      </c>
      <c r="B5" s="65">
        <v>0.9643</v>
      </c>
      <c r="C5" s="65">
        <v>0.759</v>
      </c>
      <c r="D5" s="65">
        <v>0.9643</v>
      </c>
      <c r="E5" s="65">
        <v>0.7262</v>
      </c>
      <c r="F5" s="66">
        <v>0.853731343283582</v>
      </c>
      <c r="G5" s="54">
        <v>335</v>
      </c>
    </row>
    <row r="6" spans="1:7">
      <c r="A6" s="67">
        <v>3</v>
      </c>
      <c r="B6" s="65">
        <v>0.8375</v>
      </c>
      <c r="C6" s="65">
        <v>0.7875</v>
      </c>
      <c r="D6" s="65">
        <v>0.9375</v>
      </c>
      <c r="E6" s="65">
        <v>0.7375</v>
      </c>
      <c r="F6" s="66">
        <v>0.825</v>
      </c>
      <c r="G6" s="54">
        <v>320</v>
      </c>
    </row>
    <row r="7" spans="1:7">
      <c r="A7" s="67">
        <v>4</v>
      </c>
      <c r="B7" s="65">
        <v>0.8594</v>
      </c>
      <c r="C7" s="65">
        <v>0.7344</v>
      </c>
      <c r="D7" s="65">
        <v>0.9375</v>
      </c>
      <c r="E7" s="65">
        <v>0.8125</v>
      </c>
      <c r="F7" s="66">
        <v>0.8359375</v>
      </c>
      <c r="G7" s="54">
        <v>256</v>
      </c>
    </row>
    <row r="8" spans="1:7">
      <c r="A8" s="67" t="s">
        <v>4</v>
      </c>
      <c r="B8" s="66">
        <v>0.880681818181818</v>
      </c>
      <c r="C8" s="66">
        <v>0.798053527980535</v>
      </c>
      <c r="D8" s="66">
        <v>0.958730158730159</v>
      </c>
      <c r="E8" s="66">
        <v>0.794188861985472</v>
      </c>
      <c r="F8" s="66">
        <v>0.850435949027498</v>
      </c>
      <c r="G8" s="54">
        <f>=SUM(G4:G7)</f>
        <v>1492</v>
      </c>
    </row>
    <row r="9" spans="1:7">
      <c r="A9" s="67" t="s">
        <v>169</v>
      </c>
      <c r="B9" s="54">
        <v>352</v>
      </c>
      <c r="C9" s="54">
        <v>411</v>
      </c>
      <c r="D9" s="54">
        <v>315</v>
      </c>
      <c r="E9" s="54">
        <v>414</v>
      </c>
      <c r="F9" s="54">
        <f>=SUM(B9:E9)</f>
        <v>1492</v>
      </c>
      <c r="G9" s="54" t="s"/>
    </row>
    <row r="13" spans="1:15">
      <c r="A13" s="58" t="s">
        <v>53</v>
      </c>
      <c r="B13" s="59" t="s"/>
      <c r="C13" s="59" t="s"/>
      <c r="D13" s="59" t="s"/>
      <c r="E13" s="59" t="s"/>
      <c r="F13" s="59" t="s"/>
      <c r="G13" s="60" t="s"/>
      <c r="I13" s="58" t="s">
        <v>170</v>
      </c>
      <c r="J13" s="59" t="s"/>
      <c r="K13" s="59" t="s"/>
      <c r="L13" s="59" t="s"/>
      <c r="M13" s="59" t="s"/>
      <c r="N13" s="59" t="s"/>
      <c r="O13" s="60" t="s"/>
    </row>
    <row r="14" spans="1:15">
      <c r="A14" s="61" t="s">
        <v>168</v>
      </c>
      <c r="B14" s="62" t="s">
        <v>5</v>
      </c>
      <c r="C14" s="59" t="s"/>
      <c r="D14" s="59" t="s"/>
      <c r="E14" s="59" t="s"/>
      <c r="F14" s="59" t="s"/>
      <c r="G14" s="60" t="s"/>
      <c r="I14" s="61" t="s">
        <v>168</v>
      </c>
      <c r="J14" s="62" t="s">
        <v>5</v>
      </c>
      <c r="K14" s="59" t="s"/>
      <c r="L14" s="59" t="s"/>
      <c r="M14" s="59" t="s"/>
      <c r="N14" s="59" t="s"/>
      <c r="O14" s="60" t="s"/>
    </row>
    <row r="15" spans="1:15">
      <c r="A15" s="53" t="s"/>
      <c r="B15" s="63" t="s">
        <v>16</v>
      </c>
      <c r="C15" s="63" t="s">
        <v>17</v>
      </c>
      <c r="D15" s="63" t="s">
        <v>18</v>
      </c>
      <c r="E15" s="63" t="s">
        <v>19</v>
      </c>
      <c r="F15" s="63" t="s">
        <v>4</v>
      </c>
      <c r="G15" s="63" t="s">
        <v>169</v>
      </c>
      <c r="I15" s="53" t="s"/>
      <c r="J15" s="63" t="s">
        <v>16</v>
      </c>
      <c r="K15" s="63" t="s">
        <v>17</v>
      </c>
      <c r="L15" s="63" t="s">
        <v>18</v>
      </c>
      <c r="M15" s="63" t="s">
        <v>19</v>
      </c>
      <c r="N15" s="63" t="s">
        <v>4</v>
      </c>
      <c r="O15" s="63" t="s">
        <v>169</v>
      </c>
    </row>
    <row r="16" spans="1:20">
      <c r="A16" s="64">
        <v>1</v>
      </c>
      <c r="B16" s="65">
        <v>0.832</v>
      </c>
      <c r="C16" s="65">
        <v>0.772486772486773</v>
      </c>
      <c r="D16" s="65">
        <v>0.909090909090909</v>
      </c>
      <c r="E16" s="65">
        <v>0.858757062146893</v>
      </c>
      <c r="F16" s="66">
        <v>0.832469775474957</v>
      </c>
      <c r="G16" s="54">
        <v>579</v>
      </c>
      <c r="I16" s="64">
        <v>1</v>
      </c>
      <c r="J16" s="65">
        <v>0.6</v>
      </c>
      <c r="K16" s="65">
        <v>0.518518</v>
      </c>
      <c r="L16" s="65">
        <v>0.90909</v>
      </c>
      <c r="M16" s="65">
        <v>0.740112</v>
      </c>
      <c r="N16" s="66">
        <v>0.663212</v>
      </c>
      <c r="O16" s="54">
        <v>579</v>
      </c>
      <c r="P16">
        <f>=J16-B16</f>
        <v>-0.232</v>
      </c>
      <c r="Q16">
        <f>=K16-C16</f>
        <v>-0.253968772486772</v>
      </c>
      <c r="R16">
        <f>=L16-D16</f>
        <v>-0.000000909090909</v>
      </c>
      <c r="S16">
        <f>=M16-E16</f>
        <v>-0.118645062146893</v>
      </c>
      <c r="T16">
        <f>=N16-F16</f>
        <v>-0.169257775474957</v>
      </c>
    </row>
    <row r="17" spans="1:20">
      <c r="A17" s="67">
        <v>2</v>
      </c>
      <c r="B17" s="65">
        <v>0.904761904761905</v>
      </c>
      <c r="C17" s="65">
        <v>0.616279069767442</v>
      </c>
      <c r="D17" s="65">
        <v>0.872093023255814</v>
      </c>
      <c r="E17" s="65">
        <v>0.6625</v>
      </c>
      <c r="F17" s="66">
        <v>0.764880952380953</v>
      </c>
      <c r="G17" s="54">
        <v>336</v>
      </c>
      <c r="I17" s="67">
        <v>2</v>
      </c>
      <c r="J17" s="65">
        <v>0.761904</v>
      </c>
      <c r="K17" s="65">
        <v>0.395348</v>
      </c>
      <c r="L17" s="65">
        <v>0.872093</v>
      </c>
      <c r="M17" s="65">
        <v>0.5125</v>
      </c>
      <c r="N17" s="66">
        <v>0.636904</v>
      </c>
      <c r="O17" s="54">
        <v>336</v>
      </c>
      <c r="P17">
        <f>=J17-B17</f>
        <v>-0.142857904761905</v>
      </c>
      <c r="Q17">
        <f>=K17-C17</f>
        <v>-0.220931069767442</v>
      </c>
      <c r="R17">
        <f>=L17-D17</f>
        <v>-0.000000023255814</v>
      </c>
      <c r="S17">
        <f>=M17-E17</f>
        <v>-0.15</v>
      </c>
      <c r="T17">
        <f>=N17-F17</f>
        <v>-0.127976952380952</v>
      </c>
    </row>
    <row r="18" spans="1:20">
      <c r="A18" s="67">
        <v>3</v>
      </c>
      <c r="B18" s="65">
        <v>0.9375</v>
      </c>
      <c r="C18" s="65">
        <v>0.72289156626506</v>
      </c>
      <c r="D18" s="65">
        <v>0.8875</v>
      </c>
      <c r="E18" s="65">
        <v>0.701298701298701</v>
      </c>
      <c r="F18" s="66">
        <v>0.8125</v>
      </c>
      <c r="G18" s="54">
        <v>320</v>
      </c>
      <c r="I18" s="67">
        <v>3</v>
      </c>
      <c r="J18" s="65">
        <v>0.7375</v>
      </c>
      <c r="K18" s="65">
        <v>0.433734</v>
      </c>
      <c r="L18" s="65">
        <v>0.8875</v>
      </c>
      <c r="M18" s="65">
        <v>0.51948</v>
      </c>
      <c r="N18" s="66">
        <v>0.64375</v>
      </c>
      <c r="O18" s="54">
        <v>320</v>
      </c>
      <c r="P18">
        <f>=J18-B18</f>
        <v>-0.2</v>
      </c>
      <c r="Q18">
        <f>=K18-C18</f>
        <v>-0.28915756626506</v>
      </c>
      <c r="R18">
        <f>=L18-D18</f>
        <v>0</v>
      </c>
      <c r="S18">
        <f>=M18-E18</f>
        <v>-0.181818701298701</v>
      </c>
      <c r="T18">
        <f>=N18-F18</f>
        <v>-0.16875</v>
      </c>
    </row>
    <row r="19" spans="1:20">
      <c r="A19" s="67">
        <v>4</v>
      </c>
      <c r="B19" s="65">
        <v>0.805970149253732</v>
      </c>
      <c r="C19" s="65">
        <v>0.714285714285714</v>
      </c>
      <c r="D19" s="65">
        <v>0.904761904761905</v>
      </c>
      <c r="E19" s="65">
        <v>0.819672131147541</v>
      </c>
      <c r="F19" s="66">
        <v>0.811023622047244</v>
      </c>
      <c r="G19" s="54">
        <v>254</v>
      </c>
      <c r="I19" s="67">
        <v>4</v>
      </c>
      <c r="J19" s="65">
        <v>0.522388</v>
      </c>
      <c r="K19" s="65">
        <v>0.269841</v>
      </c>
      <c r="L19" s="65">
        <v>0.904761</v>
      </c>
      <c r="M19" s="65">
        <v>0.672131</v>
      </c>
      <c r="N19" s="66">
        <v>0.590551</v>
      </c>
      <c r="O19" s="54">
        <v>254</v>
      </c>
      <c r="P19">
        <f>=J19-B19</f>
        <v>-0.283582149253731</v>
      </c>
      <c r="Q19">
        <f>=K19-C19</f>
        <v>-0.444444714285714</v>
      </c>
      <c r="R19">
        <f>=L19-D19</f>
        <v>-0.000000904761905</v>
      </c>
      <c r="S19">
        <f>=M19-E19</f>
        <v>-0.147541131147541</v>
      </c>
      <c r="T19">
        <f>=N19-F19</f>
        <v>-0.220472622047244</v>
      </c>
    </row>
    <row r="20" spans="1:20">
      <c r="A20" s="67" t="s">
        <v>4</v>
      </c>
      <c r="B20" s="66">
        <v>0.867977528089888</v>
      </c>
      <c r="C20" s="66">
        <v>0.72209026128266</v>
      </c>
      <c r="D20" s="66">
        <v>0.892744479495268</v>
      </c>
      <c r="E20" s="66">
        <v>0.782278481012658</v>
      </c>
      <c r="F20" s="66">
        <v>0.809267965077233</v>
      </c>
      <c r="G20" s="54">
        <f>=SUM(G16:G19)</f>
        <v>1489</v>
      </c>
      <c r="I20" s="67" t="s">
        <v>4</v>
      </c>
      <c r="J20" s="66">
        <v>0.654494</v>
      </c>
      <c r="K20" s="66">
        <v>0.439429</v>
      </c>
      <c r="L20" s="66">
        <v>0.892744</v>
      </c>
      <c r="M20" s="66">
        <v>0.640506</v>
      </c>
      <c r="N20" s="66">
        <v>0.640698</v>
      </c>
      <c r="O20" s="54">
        <v>1489</v>
      </c>
      <c r="P20">
        <f>=J20-B20</f>
        <v>-0.213483528089888</v>
      </c>
      <c r="Q20">
        <f>=K20-C20</f>
        <v>-0.28266126128266</v>
      </c>
      <c r="R20">
        <f>=L20-D20</f>
        <v>-0.000000479495268</v>
      </c>
      <c r="S20">
        <f>=M20-E20</f>
        <v>-0.141772481012658</v>
      </c>
      <c r="T20">
        <f>=N20-F20</f>
        <v>-0.168569965077233</v>
      </c>
    </row>
    <row r="21" spans="1:15">
      <c r="A21" s="67" t="s">
        <v>169</v>
      </c>
      <c r="B21" s="54">
        <v>356</v>
      </c>
      <c r="C21" s="54">
        <v>421</v>
      </c>
      <c r="D21" s="54">
        <v>317</v>
      </c>
      <c r="E21" s="54">
        <v>395</v>
      </c>
      <c r="F21" s="54">
        <f>=SUM(B21:E21)</f>
        <v>1489</v>
      </c>
      <c r="G21" s="54" t="s"/>
      <c r="I21" s="67" t="s">
        <v>169</v>
      </c>
      <c r="J21" s="54">
        <v>356</v>
      </c>
      <c r="K21" s="54">
        <v>421</v>
      </c>
      <c r="L21" s="54">
        <v>317</v>
      </c>
      <c r="M21" s="54">
        <v>395</v>
      </c>
      <c r="N21" s="54">
        <f>=SUM(J21:M21)</f>
        <v>1489</v>
      </c>
      <c r="O21" s="54" t="s"/>
    </row>
    <row r="24" spans="1:22">
      <c r="A24" s="68" t="s">
        <v>171</v>
      </c>
      <c r="B24" s="69" t="s"/>
      <c r="C24" s="69" t="s"/>
      <c r="D24" s="69" t="s"/>
      <c r="E24" s="69" t="s"/>
      <c r="F24" s="69" t="s"/>
      <c r="G24" s="70" t="s"/>
      <c r="P24" s="68" t="s">
        <v>172</v>
      </c>
      <c r="Q24" s="69" t="s"/>
      <c r="R24" s="69" t="s"/>
      <c r="S24" s="69" t="s"/>
      <c r="T24" s="69" t="s"/>
      <c r="U24" s="69" t="s"/>
      <c r="V24" s="70" t="s"/>
    </row>
    <row r="25" spans="1:22">
      <c r="A25" s="67" t="s">
        <v>168</v>
      </c>
      <c r="B25" s="71" t="s">
        <v>5</v>
      </c>
      <c r="C25" s="69" t="s"/>
      <c r="D25" s="69" t="s"/>
      <c r="E25" s="69" t="s"/>
      <c r="F25" s="69" t="s"/>
      <c r="G25" s="70" t="s"/>
      <c r="P25" s="67" t="s">
        <v>168</v>
      </c>
      <c r="Q25" s="71" t="s">
        <v>5</v>
      </c>
      <c r="R25" s="69" t="s"/>
      <c r="S25" s="69" t="s"/>
      <c r="T25" s="69" t="s"/>
      <c r="U25" s="69" t="s"/>
      <c r="V25" s="70" t="s"/>
    </row>
    <row r="26" spans="1:22">
      <c r="A26" s="53" t="s"/>
      <c r="B26" s="63" t="s">
        <v>16</v>
      </c>
      <c r="C26" s="63" t="s">
        <v>17</v>
      </c>
      <c r="D26" s="63" t="s">
        <v>18</v>
      </c>
      <c r="E26" s="63" t="s">
        <v>19</v>
      </c>
      <c r="F26" s="63" t="s">
        <v>4</v>
      </c>
      <c r="G26" s="63" t="s">
        <v>169</v>
      </c>
      <c r="P26" s="53" t="s"/>
      <c r="Q26" s="63" t="s">
        <v>16</v>
      </c>
      <c r="R26" s="63" t="s">
        <v>17</v>
      </c>
      <c r="S26" s="63" t="s">
        <v>18</v>
      </c>
      <c r="T26" s="63" t="s">
        <v>19</v>
      </c>
      <c r="U26" s="63" t="s">
        <v>4</v>
      </c>
      <c r="V26" s="63" t="s">
        <v>169</v>
      </c>
    </row>
    <row r="27" spans="1:22">
      <c r="A27" s="64">
        <v>1</v>
      </c>
      <c r="B27" s="66">
        <v>0.940476190476191</v>
      </c>
      <c r="C27" s="66">
        <v>0.616279069767442</v>
      </c>
      <c r="D27" s="66">
        <v>0.895348837209303</v>
      </c>
      <c r="E27" s="66">
        <v>0.75</v>
      </c>
      <c r="F27" s="66">
        <v>0.800595238095238</v>
      </c>
      <c r="G27" s="54">
        <v>579</v>
      </c>
      <c r="H27">
        <f>=B27-B16</f>
        <v>0.108476190476191</v>
      </c>
      <c r="I27">
        <f>=C27-C16</f>
        <v>-0.156207702719331</v>
      </c>
      <c r="J27" s="72">
        <f>=D27-D16</f>
        <v>-0.013742071881607</v>
      </c>
      <c r="K27" s="72">
        <f>=E27-E16</f>
        <v>-0.108757062146893</v>
      </c>
      <c r="L27" s="72">
        <f>=F27-F16</f>
        <v>-0.031874537379719</v>
      </c>
      <c r="M27" s="73" t="s"/>
      <c r="N27" s="73" t="s"/>
      <c r="P27" s="64">
        <v>1</v>
      </c>
      <c r="Q27" s="66">
        <v>0.866788321167883</v>
      </c>
      <c r="R27" s="66">
        <v>0.770642201834863</v>
      </c>
      <c r="S27" s="66">
        <v>0.780392156862745</v>
      </c>
      <c r="T27" s="66">
        <v>0.8</v>
      </c>
      <c r="U27" s="66">
        <v>0.818181818181818</v>
      </c>
      <c r="V27" s="54">
        <v>579</v>
      </c>
    </row>
    <row r="28" spans="1:22">
      <c r="A28" s="67">
        <v>2</v>
      </c>
      <c r="B28" s="66">
        <v>0.9375</v>
      </c>
      <c r="C28" s="66">
        <v>0.759036144578313</v>
      </c>
      <c r="D28" s="66">
        <v>0.9125</v>
      </c>
      <c r="E28" s="66">
        <v>0.792207792207792</v>
      </c>
      <c r="F28" s="66">
        <v>0.85</v>
      </c>
      <c r="G28" s="54">
        <v>336</v>
      </c>
      <c r="H28">
        <f>=B28-B17</f>
        <v>0.032738095238095</v>
      </c>
      <c r="I28">
        <f>=C28-C17</f>
        <v>0.142757074810871</v>
      </c>
      <c r="J28" s="72">
        <f>=D28-D17</f>
        <v>0.040406976744186</v>
      </c>
      <c r="K28" s="72">
        <f>=E28-E17</f>
        <v>0.129707792207792</v>
      </c>
      <c r="L28" s="72">
        <f>=F28-F17</f>
        <v>0.085119047619048</v>
      </c>
      <c r="M28" s="73" t="s"/>
      <c r="N28" s="73" t="s"/>
      <c r="P28" s="67">
        <v>2</v>
      </c>
      <c r="Q28" s="66">
        <v>0.929292929292929</v>
      </c>
      <c r="R28" s="66">
        <v>0.615963855421687</v>
      </c>
      <c r="S28" s="66">
        <v>0.82899022801303</v>
      </c>
      <c r="T28" s="66">
        <v>0.634387351778656</v>
      </c>
      <c r="U28" s="66">
        <v>0.77829848594088</v>
      </c>
      <c r="V28" s="54">
        <v>336</v>
      </c>
    </row>
    <row r="29" spans="1:22">
      <c r="A29" s="67">
        <v>3</v>
      </c>
      <c r="B29" s="66">
        <v>0.82089552238806</v>
      </c>
      <c r="C29" s="66">
        <v>0.746031746031746</v>
      </c>
      <c r="D29" s="66">
        <v>0.904761904761905</v>
      </c>
      <c r="E29" s="66">
        <v>0.868852459016394</v>
      </c>
      <c r="F29" s="66">
        <v>0.834645669291339</v>
      </c>
      <c r="G29" s="54">
        <v>320</v>
      </c>
      <c r="H29">
        <f>=B29-B18</f>
        <v>-0.11660447761194</v>
      </c>
      <c r="I29">
        <f>=C29-C18</f>
        <v>0.023140179766686</v>
      </c>
      <c r="J29" s="72">
        <f>=D29-D18</f>
        <v>0.017261904761905</v>
      </c>
      <c r="K29" s="72">
        <f>=E29-E18</f>
        <v>0.167553757717692</v>
      </c>
      <c r="L29" s="72">
        <f>=F29-F18</f>
        <v>0.022145669291339</v>
      </c>
      <c r="M29" s="73" t="s"/>
      <c r="N29" s="73" t="s"/>
      <c r="P29" s="67">
        <v>3</v>
      </c>
      <c r="Q29" s="66">
        <v>0.946594427244582</v>
      </c>
      <c r="R29" s="66">
        <v>0.693306693306693</v>
      </c>
      <c r="S29" s="66">
        <v>0.841954022988506</v>
      </c>
      <c r="T29" s="66">
        <v>0.673355629877369</v>
      </c>
      <c r="U29" s="66">
        <v>0.803023145961266</v>
      </c>
      <c r="V29" s="54">
        <v>320</v>
      </c>
    </row>
    <row r="30" spans="1:22">
      <c r="A30" s="67">
        <v>4</v>
      </c>
      <c r="B30" s="66">
        <v>0.904761904761905</v>
      </c>
      <c r="C30" s="66">
        <v>0.702586206896552</v>
      </c>
      <c r="D30" s="66">
        <v>0.903930131004367</v>
      </c>
      <c r="E30" s="66">
        <v>0.798165137614679</v>
      </c>
      <c r="F30" s="66">
        <v>0.827472527472528</v>
      </c>
      <c r="G30" s="54">
        <v>254</v>
      </c>
      <c r="H30">
        <f>=B30-B19</f>
        <v>0.098791755508173</v>
      </c>
      <c r="I30" s="72">
        <f>=C30-C19</f>
        <v>-0.011699507389163</v>
      </c>
      <c r="J30" s="72">
        <f>=D30-D19</f>
        <v>-0.000831773757538</v>
      </c>
      <c r="K30" s="72">
        <f>=E30-E19</f>
        <v>-0.021506993532862</v>
      </c>
      <c r="L30" s="72">
        <f>=F30-F19</f>
        <v>0.016448905425283</v>
      </c>
      <c r="M30" s="73" t="s"/>
      <c r="N30" s="73" t="s"/>
      <c r="P30" s="67">
        <v>4</v>
      </c>
      <c r="Q30" s="66">
        <v>0.824801730353281</v>
      </c>
      <c r="R30" s="66">
        <v>0.712488769092543</v>
      </c>
      <c r="S30" s="66">
        <v>0.884255319148936</v>
      </c>
      <c r="T30" s="66">
        <v>0.803044719314938</v>
      </c>
      <c r="U30" s="66">
        <v>0.808294540837918</v>
      </c>
      <c r="V30" s="54">
        <v>254</v>
      </c>
    </row>
    <row r="31" spans="1:22">
      <c r="A31" s="67" t="s">
        <v>4</v>
      </c>
      <c r="B31" s="66">
        <v>0.892103391036282</v>
      </c>
      <c r="C31" s="66">
        <v>0.691787439613527</v>
      </c>
      <c r="D31" s="66">
        <v>0.85038860103627</v>
      </c>
      <c r="E31" s="66">
        <v>0.72336227308603</v>
      </c>
      <c r="F31" s="66">
        <v>0.801066131025958</v>
      </c>
      <c r="G31" s="54">
        <f>=SUM(G27:G30)</f>
        <v>1489</v>
      </c>
      <c r="I31" s="73" t="s"/>
      <c r="J31" s="73" t="s"/>
      <c r="K31" s="73" t="s"/>
      <c r="L31" s="72">
        <f>=F31-F20</f>
        <v>-0.008201834051275</v>
      </c>
      <c r="M31" s="73" t="s"/>
      <c r="N31" s="73" t="s"/>
      <c r="P31" s="67" t="s">
        <v>4</v>
      </c>
      <c r="Q31" s="66">
        <v>0.876971608832808</v>
      </c>
      <c r="R31" s="66">
        <v>0.700315457413249</v>
      </c>
      <c r="S31" s="66">
        <v>0.89171974522293</v>
      </c>
      <c r="T31" s="66">
        <v>0.741610738255034</v>
      </c>
      <c r="U31" s="66">
        <v>0.803370786516854</v>
      </c>
      <c r="V31" s="54">
        <f>=SUM(V27:V30)</f>
        <v>1489</v>
      </c>
    </row>
    <row r="32" spans="1:22">
      <c r="A32" s="67" t="s">
        <v>169</v>
      </c>
      <c r="B32" s="54">
        <v>356</v>
      </c>
      <c r="C32" s="54">
        <v>421</v>
      </c>
      <c r="D32" s="54">
        <v>317</v>
      </c>
      <c r="E32" s="54">
        <v>395</v>
      </c>
      <c r="F32" s="54">
        <f>=SUM(B32:E32)</f>
        <v>1489</v>
      </c>
      <c r="G32" s="54" t="s"/>
      <c r="I32" s="73" t="s"/>
      <c r="J32" s="73" t="s"/>
      <c r="K32" s="73" t="s"/>
      <c r="L32" s="73" t="s"/>
      <c r="M32" s="73" t="s"/>
      <c r="P32" s="67" t="s">
        <v>169</v>
      </c>
      <c r="Q32" s="54">
        <v>356</v>
      </c>
      <c r="R32" s="54">
        <v>421</v>
      </c>
      <c r="S32" s="54">
        <v>317</v>
      </c>
      <c r="T32" s="54">
        <v>395</v>
      </c>
      <c r="U32" s="54">
        <f>=SUM(Q32:T32)</f>
        <v>1489</v>
      </c>
      <c r="V32" s="54" t="s"/>
    </row>
    <row r="33" spans="9:13">
      <c r="I33" s="73" t="s"/>
      <c r="J33" s="73" t="s"/>
      <c r="K33" s="73" t="s"/>
      <c r="L33" s="73" t="s"/>
      <c r="M33" s="73" t="s"/>
    </row>
    <row r="34" spans="9:13">
      <c r="I34" s="73" t="s"/>
      <c r="J34" s="73" t="s"/>
      <c r="K34" s="73" t="s"/>
      <c r="L34" s="73" t="s"/>
      <c r="M34" s="73" t="s"/>
    </row>
    <row r="36" spans="1:7">
      <c r="A36" s="68" t="s">
        <v>50</v>
      </c>
      <c r="B36" s="69" t="s"/>
      <c r="C36" s="69" t="s"/>
      <c r="D36" s="69" t="s"/>
      <c r="E36" s="69" t="s"/>
      <c r="F36" s="69" t="s"/>
      <c r="G36" s="70" t="s"/>
    </row>
    <row r="37" spans="1:15">
      <c r="A37" s="67" t="s">
        <v>168</v>
      </c>
      <c r="B37" s="71" t="s">
        <v>5</v>
      </c>
      <c r="C37" s="69" t="s"/>
      <c r="D37" s="69" t="s"/>
      <c r="E37" s="69" t="s"/>
      <c r="F37" s="69" t="s"/>
      <c r="G37" s="70" t="s"/>
      <c r="J37" s="73" t="s"/>
      <c r="K37" s="73" t="s"/>
      <c r="L37" s="73" t="s"/>
      <c r="M37" s="73" t="s"/>
      <c r="N37" s="73" t="s"/>
      <c r="O37" s="73" t="s"/>
    </row>
    <row r="38" spans="1:15">
      <c r="A38" s="53" t="s"/>
      <c r="B38" s="63" t="s">
        <v>16</v>
      </c>
      <c r="C38" s="63" t="s">
        <v>17</v>
      </c>
      <c r="D38" s="63" t="s">
        <v>18</v>
      </c>
      <c r="E38" s="63" t="s">
        <v>19</v>
      </c>
      <c r="F38" s="63" t="s">
        <v>4</v>
      </c>
      <c r="G38" s="63" t="s">
        <v>169</v>
      </c>
      <c r="H38" s="73" t="s"/>
      <c r="J38" s="73" t="s"/>
      <c r="K38" s="73" t="s"/>
      <c r="L38" s="73" t="s"/>
      <c r="M38" s="73" t="s"/>
      <c r="N38" s="73" t="s"/>
      <c r="O38" s="73" t="s"/>
    </row>
    <row r="39" spans="1:15">
      <c r="A39" s="64">
        <v>1</v>
      </c>
      <c r="B39" s="66">
        <v>0.940476190476191</v>
      </c>
      <c r="C39" s="66">
        <v>0.616279069767442</v>
      </c>
      <c r="D39" s="66">
        <v>0.895348837209303</v>
      </c>
      <c r="E39" s="66">
        <v>0.75</v>
      </c>
      <c r="F39" s="66">
        <v>0.800595238095238</v>
      </c>
      <c r="G39" s="54">
        <v>579</v>
      </c>
      <c r="H39" s="73" t="s"/>
      <c r="J39" s="73" t="s"/>
      <c r="K39" s="73" t="s"/>
      <c r="L39" s="73" t="s"/>
      <c r="M39" s="73" t="s"/>
      <c r="N39" s="73" t="s"/>
      <c r="O39" s="73" t="s"/>
    </row>
    <row r="40" spans="1:15">
      <c r="A40" s="67">
        <v>2</v>
      </c>
      <c r="B40" s="66">
        <v>0.9375</v>
      </c>
      <c r="C40" s="66">
        <v>0.759036144578313</v>
      </c>
      <c r="D40" s="66">
        <v>0.9125</v>
      </c>
      <c r="E40" s="66">
        <v>0.792207792207792</v>
      </c>
      <c r="F40" s="66">
        <v>0.85</v>
      </c>
      <c r="G40" s="54">
        <v>336</v>
      </c>
      <c r="H40" s="73" t="s"/>
      <c r="J40" s="73" t="s"/>
      <c r="K40" s="73" t="s"/>
      <c r="L40" s="73" t="s"/>
      <c r="M40" s="73" t="s"/>
      <c r="N40" s="73" t="s"/>
      <c r="O40" s="73" t="s"/>
    </row>
    <row r="41" spans="1:15">
      <c r="A41" s="67">
        <v>3</v>
      </c>
      <c r="B41" s="66">
        <v>0.82089552238806</v>
      </c>
      <c r="C41" s="66">
        <v>0.746031746031746</v>
      </c>
      <c r="D41" s="66">
        <v>0.904761904761905</v>
      </c>
      <c r="E41" s="66">
        <v>0.868852459016394</v>
      </c>
      <c r="F41" s="66">
        <v>0.834645669291339</v>
      </c>
      <c r="G41" s="54">
        <v>320</v>
      </c>
      <c r="H41" s="73" t="s"/>
      <c r="J41" s="73" t="s"/>
      <c r="K41" s="73" t="s"/>
      <c r="L41" s="73" t="s"/>
      <c r="M41" s="73" t="s"/>
      <c r="N41" s="73" t="s"/>
      <c r="O41" s="73" t="s"/>
    </row>
    <row r="42" spans="1:7">
      <c r="A42" s="67">
        <v>4</v>
      </c>
      <c r="B42" s="66">
        <v>0.904761904761905</v>
      </c>
      <c r="C42" s="66">
        <v>0.702586206896552</v>
      </c>
      <c r="D42" s="66">
        <v>0.903930131004367</v>
      </c>
      <c r="E42" s="66">
        <v>0.798165137614679</v>
      </c>
      <c r="F42" s="66">
        <v>0.827472527472528</v>
      </c>
      <c r="G42" s="54">
        <v>254</v>
      </c>
    </row>
    <row r="43" spans="1:7">
      <c r="A43" s="67" t="s">
        <v>4</v>
      </c>
      <c r="B43" s="66">
        <v>0.892103391036282</v>
      </c>
      <c r="C43" s="66">
        <v>0.691787439613527</v>
      </c>
      <c r="D43" s="66">
        <v>0.85038860103627</v>
      </c>
      <c r="E43" s="66">
        <v>0.72336227308603</v>
      </c>
      <c r="F43" s="66">
        <v>0.801066131025958</v>
      </c>
      <c r="G43" s="54">
        <f>=SUM(G39:G42)</f>
        <v>1489</v>
      </c>
    </row>
    <row r="44" spans="1:7">
      <c r="A44" s="67" t="s">
        <v>169</v>
      </c>
      <c r="B44" s="54">
        <v>356</v>
      </c>
      <c r="C44" s="54">
        <v>421</v>
      </c>
      <c r="D44" s="54">
        <v>317</v>
      </c>
      <c r="E44" s="54">
        <v>395</v>
      </c>
      <c r="F44" s="54">
        <f>=SUM(B44:E44)</f>
        <v>1489</v>
      </c>
      <c r="G44" s="54" t="s"/>
    </row>
  </sheetData>
  <mergeCells count="18">
    <mergeCell ref="A2:A3"/>
    <mergeCell ref="B2:G2"/>
    <mergeCell ref="A1:G1"/>
    <mergeCell ref="A13:G13"/>
    <mergeCell ref="A14:A15"/>
    <mergeCell ref="B14:G14"/>
    <mergeCell ref="A24:G24"/>
    <mergeCell ref="A25:A26"/>
    <mergeCell ref="B25:G25"/>
    <mergeCell ref="A36:G36"/>
    <mergeCell ref="A37:A38"/>
    <mergeCell ref="B37:G37"/>
    <mergeCell ref="P24:V24"/>
    <mergeCell ref="P25:P26"/>
    <mergeCell ref="Q25:V25"/>
    <mergeCell ref="I13:O13"/>
    <mergeCell ref="I14:I15"/>
    <mergeCell ref="J14:O14"/>
  </mergeCells>
  <conditionalFormatting sqref="B39:B42">
    <cfRule type="colorScale" priority="1">
      <colorScale>
        <cfvo type="min"/>
        <cfvo type="max"/>
        <color rgb="FFFFC9C7"/>
        <color rgb="FFC7DCFF"/>
      </colorScale>
    </cfRule>
  </conditionalFormatting>
</worksheet>
</file>

<file path=xl/worksheets/sheet13.xml><?xml version="1.0" encoding="utf-8"?>
<worksheet xmlns:r="http://schemas.openxmlformats.org/officeDocument/2006/relationships" xmlns="http://schemas.openxmlformats.org/spreadsheetml/2006/main">
  <sheetPr codeName="messages length">
    <tabColor rgb="FFFFFFFF"/>
  </sheetPr>
  <dimension ref="K49"/>
  <sheetViews>
    <sheetView showGridLines="true" workbookViewId="0"/>
  </sheetViews>
  <cols>
    <col min="6" max="6" hidden="true"/>
    <col min="8" max="8" hidden="true"/>
  </cols>
  <sheetData>
    <row r="1" spans="1:8">
      <c r="A1" s="73" t="s">
        <v>351</v>
      </c>
      <c r="B1" s="73" t="s">
        <v>352</v>
      </c>
      <c r="C1" s="73" t="s">
        <v>353</v>
      </c>
      <c r="D1" s="73" t="s">
        <v>47</v>
      </c>
      <c r="E1" s="35" t="s">
        <v>50</v>
      </c>
      <c r="F1" t="s">
        <v>354</v>
      </c>
      <c r="G1" t="s">
        <v>60</v>
      </c>
      <c r="H1" t="s">
        <v>62</v>
      </c>
    </row>
    <row r="2" spans="1:8">
      <c r="A2" s="73">
        <v>0</v>
      </c>
      <c r="B2" s="73">
        <v>417</v>
      </c>
      <c r="C2" s="73">
        <v>0.748201438848921</v>
      </c>
      <c r="D2" s="73">
        <v>0.712230215827338</v>
      </c>
      <c r="E2" s="73">
        <v>0.621103117505995</v>
      </c>
      <c r="F2" s="73">
        <v>0.091127098321343</v>
      </c>
      <c r="G2" s="73">
        <v>0.669064748201439</v>
      </c>
      <c r="H2" s="73">
        <v>0.544364508393285</v>
      </c>
    </row>
    <row r="3" spans="1:13">
      <c r="A3" s="73">
        <v>2</v>
      </c>
      <c r="B3" s="73">
        <v>106</v>
      </c>
      <c r="C3" s="73">
        <v>0.716981132075472</v>
      </c>
      <c r="D3" s="73">
        <v>0.660377358490566</v>
      </c>
      <c r="E3" s="73">
        <v>0.603773584905661</v>
      </c>
      <c r="F3" s="73">
        <v>0.075471698113208</v>
      </c>
      <c r="G3" s="73">
        <v>0.632075471698113</v>
      </c>
      <c r="H3" s="73">
        <v>0.603773584905661</v>
      </c>
      <c r="K3" s="73" t="s"/>
      <c r="L3" s="73" t="s"/>
      <c r="M3" s="73" t="s"/>
    </row>
    <row r="4" spans="1:13">
      <c r="A4" s="73">
        <v>4</v>
      </c>
      <c r="B4" s="73">
        <v>151</v>
      </c>
      <c r="C4" s="73">
        <v>0.701986754966888</v>
      </c>
      <c r="D4" s="73">
        <v>0.728476821192053</v>
      </c>
      <c r="E4" s="73">
        <v>0.688741721854305</v>
      </c>
      <c r="F4" s="73">
        <v>0.099337748344371</v>
      </c>
      <c r="G4" s="73">
        <v>0.662251655629139</v>
      </c>
      <c r="H4" s="73">
        <v>0.609271523178808</v>
      </c>
      <c r="K4" s="73" t="s"/>
      <c r="L4" s="73" t="s"/>
      <c r="M4" s="73" t="s"/>
    </row>
    <row r="5" spans="1:13">
      <c r="A5" s="73">
        <v>6</v>
      </c>
      <c r="B5" s="73">
        <v>138</v>
      </c>
      <c r="C5" s="73">
        <v>0.746376811594203</v>
      </c>
      <c r="D5" s="73">
        <v>0.659420289855073</v>
      </c>
      <c r="E5" s="73">
        <v>0.594202898550725</v>
      </c>
      <c r="F5" s="73">
        <v>0.108695652173913</v>
      </c>
      <c r="G5" s="73">
        <v>0.63768115942029</v>
      </c>
      <c r="H5" s="73">
        <v>0.572463768115942</v>
      </c>
      <c r="K5" s="73" t="s"/>
      <c r="L5" s="73" t="s"/>
      <c r="M5" s="73" t="s"/>
    </row>
    <row r="6" spans="1:13">
      <c r="A6" s="73">
        <v>8</v>
      </c>
      <c r="B6" s="73">
        <v>128</v>
      </c>
      <c r="C6" s="73">
        <v>0.671875</v>
      </c>
      <c r="D6" s="73">
        <v>0.609375</v>
      </c>
      <c r="E6" s="73">
        <v>0.5390625</v>
      </c>
      <c r="F6" s="73">
        <v>0.1015625</v>
      </c>
      <c r="G6" s="73">
        <v>0.515625</v>
      </c>
      <c r="H6" s="73">
        <v>0.484375</v>
      </c>
      <c r="K6" s="73" t="s"/>
      <c r="L6" s="73" t="s"/>
      <c r="M6" s="73" t="s"/>
    </row>
    <row r="7" spans="1:13">
      <c r="A7" s="73">
        <v>10</v>
      </c>
      <c r="B7" s="73">
        <v>110</v>
      </c>
      <c r="C7" s="73">
        <v>0.709090909090909</v>
      </c>
      <c r="D7" s="73">
        <v>0.690909090909091</v>
      </c>
      <c r="E7" s="73">
        <v>0.472727272727273</v>
      </c>
      <c r="F7" s="73">
        <v>0.127272727272727</v>
      </c>
      <c r="G7" s="73">
        <v>0.636363636363637</v>
      </c>
      <c r="H7" s="73">
        <v>0.572727272727273</v>
      </c>
      <c r="K7" s="73" t="s"/>
      <c r="L7" s="73" t="s"/>
      <c r="M7" s="73" t="s"/>
    </row>
    <row r="8" spans="1:13">
      <c r="A8" s="73">
        <v>12</v>
      </c>
      <c r="B8" s="73">
        <v>89</v>
      </c>
      <c r="C8" s="73">
        <v>0.696629213483146</v>
      </c>
      <c r="D8" s="73">
        <v>0.629213483146068</v>
      </c>
      <c r="E8" s="73">
        <v>0.539325842696629</v>
      </c>
      <c r="F8" s="73">
        <v>0.134831460674157</v>
      </c>
      <c r="G8" s="73">
        <v>0.584269662921348</v>
      </c>
      <c r="H8" s="73">
        <v>0.52808988764045</v>
      </c>
      <c r="K8" s="73" t="s"/>
      <c r="L8" s="73" t="s"/>
      <c r="M8" s="73" t="s"/>
    </row>
    <row r="9" spans="1:13">
      <c r="A9" s="73">
        <v>14</v>
      </c>
      <c r="B9" s="73">
        <v>72</v>
      </c>
      <c r="C9" s="73">
        <v>0.694444444444445</v>
      </c>
      <c r="D9" s="73">
        <v>0.722222222222222</v>
      </c>
      <c r="E9" s="73">
        <v>0.444444444444445</v>
      </c>
      <c r="F9" s="73">
        <v>0.152777777777778</v>
      </c>
      <c r="G9" s="73">
        <v>0.569444444444445</v>
      </c>
      <c r="H9" s="73">
        <v>0.472222222222222</v>
      </c>
      <c r="K9" s="73" t="s"/>
      <c r="L9" s="73" t="s"/>
      <c r="M9" s="73" t="s"/>
    </row>
    <row r="10" spans="1:13">
      <c r="A10" s="73">
        <v>16</v>
      </c>
      <c r="B10" s="73">
        <v>66</v>
      </c>
      <c r="C10" s="73">
        <v>0.696969696969697</v>
      </c>
      <c r="D10" s="73">
        <v>0.606060606060606</v>
      </c>
      <c r="E10" s="73">
        <v>0.454545454545455</v>
      </c>
      <c r="F10" s="73">
        <v>0.060606060606061</v>
      </c>
      <c r="G10" s="73">
        <v>0.560606060606061</v>
      </c>
      <c r="H10" s="73">
        <v>0.46969696969697</v>
      </c>
      <c r="K10" s="73" t="s"/>
      <c r="L10" s="73" t="s"/>
      <c r="M10" s="73" t="s"/>
    </row>
    <row r="11" spans="1:13">
      <c r="A11" s="73">
        <v>18</v>
      </c>
      <c r="B11" s="73">
        <v>43</v>
      </c>
      <c r="C11" s="73">
        <v>0.604651162790698</v>
      </c>
      <c r="D11" s="73">
        <v>0.534883720930233</v>
      </c>
      <c r="E11" s="73">
        <v>0.348837209302326</v>
      </c>
      <c r="F11" s="73">
        <v>0.13953488372093</v>
      </c>
      <c r="G11" s="73">
        <v>0.58139534883721</v>
      </c>
      <c r="H11" s="73">
        <v>0.465116279069768</v>
      </c>
      <c r="K11" s="73" t="s"/>
      <c r="L11" s="73" t="s"/>
      <c r="M11" s="73" t="s"/>
    </row>
    <row r="12" spans="1:13">
      <c r="A12" s="73">
        <v>20</v>
      </c>
      <c r="B12" s="73">
        <v>51</v>
      </c>
      <c r="C12" s="73">
        <v>0.647058823529412</v>
      </c>
      <c r="D12" s="73">
        <v>0.549019607843137</v>
      </c>
      <c r="E12" s="73">
        <v>0.333333333333333</v>
      </c>
      <c r="F12" s="73">
        <v>0.07843137254902</v>
      </c>
      <c r="G12" s="73">
        <v>0.450980392156863</v>
      </c>
      <c r="H12" s="73">
        <v>0.411764705882353</v>
      </c>
      <c r="K12" s="73" t="s"/>
      <c r="L12" s="73" t="s"/>
      <c r="M12" s="73" t="s"/>
    </row>
    <row r="13" spans="1:13">
      <c r="A13" s="73">
        <v>22</v>
      </c>
      <c r="B13" s="73">
        <v>26</v>
      </c>
      <c r="C13" s="73">
        <v>0.615384615384616</v>
      </c>
      <c r="D13" s="73">
        <v>0.615384615384616</v>
      </c>
      <c r="E13" s="73">
        <v>0.384615384615385</v>
      </c>
      <c r="F13" s="73">
        <v>0.076923076923077</v>
      </c>
      <c r="G13" s="73">
        <v>0.576923076923077</v>
      </c>
      <c r="H13" s="73">
        <v>0.423076923076923</v>
      </c>
      <c r="K13" s="73" t="s"/>
      <c r="L13" s="73" t="s"/>
      <c r="M13" s="73" t="s"/>
    </row>
    <row r="14" spans="1:13">
      <c r="A14" s="73">
        <v>24</v>
      </c>
      <c r="B14" s="73">
        <v>29</v>
      </c>
      <c r="C14" s="73">
        <v>0.620689655172414</v>
      </c>
      <c r="D14" s="73">
        <v>0.517241379310345</v>
      </c>
      <c r="E14" s="73">
        <v>0.379310344827586</v>
      </c>
      <c r="F14" s="73">
        <v>0.103448275862069</v>
      </c>
      <c r="G14" s="73">
        <v>0.482758620689655</v>
      </c>
      <c r="H14" s="73">
        <v>0.551724137931035</v>
      </c>
      <c r="K14" s="73" t="s"/>
      <c r="L14" s="73" t="s"/>
      <c r="M14" s="73" t="s"/>
    </row>
    <row r="15" spans="1:13">
      <c r="A15" s="73">
        <v>26</v>
      </c>
      <c r="B15" s="73">
        <v>21</v>
      </c>
      <c r="C15" s="73">
        <v>0.666666666666667</v>
      </c>
      <c r="D15" s="73">
        <v>0.619047619047619</v>
      </c>
      <c r="E15" s="73">
        <v>0.190476190476191</v>
      </c>
      <c r="F15" s="73">
        <v>0.047619047619048</v>
      </c>
      <c r="G15" s="73">
        <v>0.476190476190476</v>
      </c>
      <c r="H15" s="73">
        <v>0.190476190476191</v>
      </c>
      <c r="K15" s="73" t="s"/>
      <c r="L15" s="73" t="s"/>
      <c r="M15" s="73" t="s"/>
    </row>
    <row r="16" spans="1:13">
      <c r="A16" s="73">
        <v>28</v>
      </c>
      <c r="B16" s="73">
        <v>14</v>
      </c>
      <c r="C16" s="73">
        <v>0.714285714285714</v>
      </c>
      <c r="D16" s="73">
        <v>0.642857142857143</v>
      </c>
      <c r="E16" s="73">
        <v>0.357142857142857</v>
      </c>
      <c r="F16" s="73">
        <v>0.071428571428571</v>
      </c>
      <c r="G16" s="73">
        <v>0.642857142857143</v>
      </c>
      <c r="H16" s="73">
        <v>0.357142857142857</v>
      </c>
      <c r="K16" s="73" t="s"/>
      <c r="L16" s="73" t="s"/>
      <c r="M16" s="73" t="s"/>
    </row>
    <row r="17" spans="11:13">
      <c r="K17" s="73" t="s"/>
      <c r="L17" s="73" t="s"/>
      <c r="M17" s="73" t="s"/>
    </row>
    <row r="25" spans="12:14">
      <c r="L25" s="35" t="s"/>
      <c r="M25" s="35" t="s"/>
      <c r="N25" s="73" t="s"/>
    </row>
    <row r="26" spans="8:14">
      <c r="H26" s="73" t="s"/>
      <c r="I26" s="73" t="s"/>
      <c r="L26" s="35" t="s"/>
      <c r="M26" s="35" t="s"/>
      <c r="N26" s="73" t="s"/>
    </row>
    <row r="27" spans="8:14">
      <c r="H27" s="73" t="s"/>
      <c r="I27" s="73" t="s"/>
      <c r="L27" s="35" t="s"/>
      <c r="M27" s="35" t="s"/>
      <c r="N27" s="73" t="s"/>
    </row>
    <row r="28" spans="8:14">
      <c r="H28" s="73" t="s"/>
      <c r="I28" s="73" t="s"/>
      <c r="L28" s="35" t="s"/>
      <c r="M28" s="35" t="s"/>
      <c r="N28" s="73" t="s"/>
    </row>
    <row r="29" spans="8:14">
      <c r="H29" s="73" t="s"/>
      <c r="I29" s="73" t="s"/>
      <c r="L29" s="35" t="s"/>
      <c r="M29" s="35" t="s"/>
      <c r="N29" s="73" t="s"/>
    </row>
    <row r="30" spans="8:14">
      <c r="H30" s="73" t="s"/>
      <c r="I30" s="73" t="s"/>
      <c r="L30" s="35" t="s"/>
      <c r="M30" s="35" t="s"/>
      <c r="N30" s="73" t="s"/>
    </row>
    <row r="31" spans="8:14">
      <c r="H31" s="73" t="s"/>
      <c r="I31" s="73" t="s"/>
      <c r="L31" s="35" t="s"/>
      <c r="M31" s="35" t="s"/>
      <c r="N31" s="73" t="s"/>
    </row>
    <row r="32" spans="8:14">
      <c r="H32" s="73" t="s"/>
      <c r="I32" s="73" t="s"/>
      <c r="L32" s="35" t="s"/>
      <c r="M32" s="35" t="s"/>
      <c r="N32" s="73" t="s"/>
    </row>
    <row r="33" spans="8:14">
      <c r="H33" s="73" t="s"/>
      <c r="I33" s="73" t="s"/>
      <c r="L33" s="35" t="s"/>
      <c r="M33" s="35" t="s"/>
      <c r="N33" s="73" t="s"/>
    </row>
    <row r="34" spans="8:14">
      <c r="H34" s="35" t="s"/>
      <c r="I34" s="35" t="s"/>
      <c r="J34" s="73" t="s"/>
      <c r="L34" s="35" t="s"/>
      <c r="M34" s="35" t="s"/>
      <c r="N34" s="73" t="s"/>
    </row>
    <row r="35" spans="8:14">
      <c r="H35" s="35" t="s"/>
      <c r="I35" s="35" t="s"/>
      <c r="J35" s="73" t="s"/>
      <c r="K35" s="73" t="s"/>
      <c r="L35" s="35" t="s"/>
      <c r="M35" s="35" t="s"/>
      <c r="N35" s="73" t="s"/>
    </row>
    <row r="36" spans="8:14">
      <c r="H36" s="35" t="s"/>
      <c r="I36" s="35" t="s"/>
      <c r="J36" s="73" t="s"/>
      <c r="K36" s="73" t="s"/>
      <c r="L36" s="35" t="s"/>
      <c r="M36" s="35" t="s"/>
      <c r="N36" s="73" t="s"/>
    </row>
    <row r="37" spans="8:14">
      <c r="H37" s="35" t="s"/>
      <c r="I37" s="35" t="s"/>
      <c r="J37" s="73" t="s"/>
      <c r="K37" s="73" t="s"/>
      <c r="L37" s="35" t="s"/>
      <c r="M37" s="35" t="s"/>
      <c r="N37" s="73" t="s"/>
    </row>
    <row r="38" spans="8:14">
      <c r="H38" s="35" t="s"/>
      <c r="I38" s="35" t="s"/>
      <c r="J38" s="73" t="s"/>
      <c r="K38" s="73" t="s"/>
      <c r="L38" s="35" t="s"/>
      <c r="M38" s="35" t="s"/>
      <c r="N38" s="73" t="s"/>
    </row>
    <row r="39" spans="8:14">
      <c r="H39" s="35" t="s"/>
      <c r="I39" s="35" t="s"/>
      <c r="J39" s="73" t="s"/>
      <c r="K39" s="73" t="s"/>
      <c r="L39" s="35" t="s"/>
      <c r="M39" s="35" t="s"/>
      <c r="N39" s="73" t="s"/>
    </row>
    <row r="40" spans="8:11">
      <c r="H40" s="35" t="s"/>
      <c r="I40" s="35" t="s"/>
      <c r="J40" s="73" t="s"/>
      <c r="K40" s="73" t="s"/>
    </row>
    <row r="41" spans="8:11">
      <c r="H41" s="35" t="s"/>
      <c r="I41" s="35" t="s"/>
      <c r="J41" s="73" t="s"/>
      <c r="K41" s="73" t="s"/>
    </row>
    <row r="42" spans="8:11">
      <c r="H42" s="35" t="s"/>
      <c r="I42" s="35" t="s"/>
      <c r="J42" s="73" t="s"/>
      <c r="K42" s="73" t="s"/>
    </row>
    <row r="43" spans="8:11">
      <c r="H43" s="35" t="s"/>
      <c r="I43" s="35" t="s"/>
      <c r="J43" s="73" t="s"/>
      <c r="K43" s="73" t="s"/>
    </row>
    <row r="44" spans="8:11">
      <c r="H44" s="35" t="s"/>
      <c r="I44" s="35" t="s"/>
      <c r="J44" s="73" t="s"/>
      <c r="K44" s="73" t="s"/>
    </row>
    <row r="45" spans="8:11">
      <c r="H45" s="35" t="s"/>
      <c r="I45" s="35" t="s"/>
      <c r="J45" s="73" t="s"/>
      <c r="K45" s="73" t="s"/>
    </row>
    <row r="46" spans="8:11">
      <c r="H46" s="35" t="s"/>
      <c r="I46" s="35" t="s"/>
      <c r="J46" s="73" t="s"/>
      <c r="K46" s="73" t="s"/>
    </row>
    <row r="47" spans="8:11">
      <c r="H47" s="35" t="s"/>
      <c r="I47" s="35" t="s"/>
      <c r="J47" s="73" t="s"/>
      <c r="K47" s="73" t="s"/>
    </row>
    <row r="48" spans="8:11">
      <c r="H48" s="35" t="s"/>
      <c r="I48" s="35" t="s"/>
      <c r="J48" s="73" t="s"/>
      <c r="K48" s="73" t="s"/>
    </row>
    <row r="49" spans="9:11">
      <c r="I49" s="73" t="s"/>
      <c r="J49" s="73" t="s"/>
      <c r="K49" s="73" t="s"/>
    </row>
  </sheetData>
  <drawing r:id="rId0"/>
</worksheet>
</file>

<file path=xl/worksheets/sheet14.xml><?xml version="1.0" encoding="utf-8"?>
<worksheet xmlns="http://schemas.openxmlformats.org/spreadsheetml/2006/main">
  <sheetPr codeName="缺失的key">
    <tabColor rgb="FFFFFFFF"/>
  </sheetPr>
  <dimension ref="C201"/>
  <sheetViews>
    <sheetView showGridLines="true" workbookViewId="0"/>
  </sheetViews>
  <cols>
    <col min="3" max="3" width="19.9609" style="56" customWidth="true"/>
  </cols>
  <sheetData>
    <row r="1" spans="1:3">
      <c r="A1" t="s">
        <v>109</v>
      </c>
      <c r="B1" s="51" t="s">
        <v>110</v>
      </c>
      <c r="C1" s="56" t="s">
        <v>111</v>
      </c>
    </row>
    <row r="2" spans="1:4">
      <c r="A2" t="s">
        <v>112</v>
      </c>
      <c r="B2" s="51" t="s">
        <v>113</v>
      </c>
      <c r="C2" s="57" t="s">
        <v>114</v>
      </c>
      <c r="D2" t="s">
        <v>115</v>
      </c>
    </row>
    <row r="3" spans="1:4">
      <c r="A3" t="s">
        <v>116</v>
      </c>
      <c r="B3" s="51" t="s">
        <v>117</v>
      </c>
      <c r="C3" s="57" t="s">
        <v>114</v>
      </c>
      <c r="D3" t="s">
        <v>118</v>
      </c>
    </row>
    <row r="4" spans="1:4">
      <c r="A4" t="s">
        <v>119</v>
      </c>
      <c r="B4" s="51" t="s">
        <v>120</v>
      </c>
      <c r="C4" s="57" t="s">
        <v>114</v>
      </c>
      <c r="D4" t="s">
        <v>121</v>
      </c>
    </row>
    <row r="5" spans="1:4">
      <c r="A5" t="s">
        <v>122</v>
      </c>
      <c r="B5" s="51" t="s">
        <v>123</v>
      </c>
      <c r="C5" s="57" t="s">
        <v>114</v>
      </c>
      <c r="D5" t="s">
        <v>124</v>
      </c>
    </row>
    <row r="6" spans="1:4">
      <c r="A6" t="s">
        <v>125</v>
      </c>
      <c r="B6" s="51" t="s">
        <v>126</v>
      </c>
      <c r="C6" s="57" t="s">
        <v>114</v>
      </c>
      <c r="D6" t="s">
        <v>127</v>
      </c>
    </row>
    <row r="7" spans="1:4">
      <c r="A7" t="s">
        <v>128</v>
      </c>
      <c r="B7" s="51" t="s">
        <v>129</v>
      </c>
      <c r="C7" s="57" t="s">
        <v>114</v>
      </c>
      <c r="D7" t="s">
        <v>130</v>
      </c>
    </row>
    <row r="8" spans="1:4">
      <c r="A8" t="s">
        <v>131</v>
      </c>
      <c r="B8" s="51" t="s">
        <v>132</v>
      </c>
      <c r="C8" s="57" t="s">
        <v>114</v>
      </c>
      <c r="D8" t="s">
        <v>133</v>
      </c>
    </row>
    <row r="9" spans="1:4">
      <c r="A9" t="s">
        <v>134</v>
      </c>
      <c r="B9" s="51" t="s">
        <v>135</v>
      </c>
      <c r="C9" s="57" t="s">
        <v>114</v>
      </c>
      <c r="D9" t="s">
        <v>136</v>
      </c>
    </row>
    <row r="10" spans="1:4">
      <c r="A10" t="s">
        <v>137</v>
      </c>
      <c r="B10" s="51" t="s">
        <v>138</v>
      </c>
      <c r="C10" s="57" t="s">
        <v>114</v>
      </c>
      <c r="D10" t="s">
        <v>139</v>
      </c>
    </row>
    <row r="11" spans="1:4">
      <c r="A11" t="s">
        <v>140</v>
      </c>
      <c r="B11" s="51" t="s">
        <v>141</v>
      </c>
      <c r="C11" s="57" t="s">
        <v>114</v>
      </c>
      <c r="D11" t="s">
        <v>142</v>
      </c>
    </row>
    <row r="12" spans="1:4">
      <c r="A12" t="s">
        <v>143</v>
      </c>
      <c r="B12" s="51" t="s">
        <v>144</v>
      </c>
      <c r="C12" s="57" t="s">
        <v>114</v>
      </c>
      <c r="D12" t="s">
        <v>145</v>
      </c>
    </row>
    <row r="13" spans="1:4">
      <c r="A13" t="s">
        <v>146</v>
      </c>
      <c r="B13" s="51" t="s">
        <v>147</v>
      </c>
      <c r="C13" s="57" t="s">
        <v>114</v>
      </c>
      <c r="D13" t="s">
        <v>148</v>
      </c>
    </row>
    <row r="14" spans="1:4">
      <c r="A14" t="s">
        <v>149</v>
      </c>
      <c r="B14" s="51" t="s">
        <v>150</v>
      </c>
      <c r="C14" s="57" t="s">
        <v>114</v>
      </c>
      <c r="D14" t="s">
        <v>151</v>
      </c>
    </row>
    <row r="15" spans="1:4">
      <c r="A15" t="s">
        <v>152</v>
      </c>
      <c r="B15" s="51" t="s">
        <v>153</v>
      </c>
      <c r="C15" s="57" t="s">
        <v>114</v>
      </c>
      <c r="D15" t="s">
        <v>154</v>
      </c>
    </row>
    <row r="16" spans="1:6">
      <c r="A16" s="51" t="s">
        <v>155</v>
      </c>
      <c r="B16" s="51" t="s">
        <v>156</v>
      </c>
      <c r="C16" s="57" t="s">
        <v>114</v>
      </c>
      <c r="D16" t="s">
        <v>157</v>
      </c>
      <c r="F16" t="s">
        <v>158</v>
      </c>
    </row>
    <row r="17" spans="1:4">
      <c r="A17" t="s">
        <v>159</v>
      </c>
      <c r="B17" s="51" t="s">
        <v>160</v>
      </c>
      <c r="C17" s="57" t="s">
        <v>114</v>
      </c>
      <c r="D17" t="s">
        <v>161</v>
      </c>
    </row>
    <row r="18" spans="1:4">
      <c r="A18" t="s">
        <v>162</v>
      </c>
      <c r="B18" s="51" t="s">
        <v>163</v>
      </c>
      <c r="C18" s="57" t="s">
        <v>114</v>
      </c>
      <c r="D18" t="s">
        <v>164</v>
      </c>
    </row>
    <row r="19" spans="1:4">
      <c r="A19" t="s">
        <v>165</v>
      </c>
      <c r="B19" s="51" t="s">
        <v>166</v>
      </c>
      <c r="C19" s="57" t="s">
        <v>114</v>
      </c>
      <c r="D19" t="s">
        <v>167</v>
      </c>
    </row>
    <row r="20" spans="3:4">
      <c r="C20" s="57" t="s"/>
      <c r="D20" t="s">
        <v>158</v>
      </c>
    </row>
    <row r="21" spans="3:3">
      <c r="C21" s="57" t="s"/>
    </row>
    <row r="22" spans="3:3">
      <c r="C22" s="57" t="s"/>
    </row>
    <row r="23" spans="3:3">
      <c r="C23" s="57" t="s"/>
    </row>
    <row r="24" spans="2:3">
      <c r="B24" s="51" t="s">
        <v>112</v>
      </c>
      <c r="C24" s="57" t="s">
        <v>114</v>
      </c>
    </row>
    <row r="25" spans="2:3">
      <c r="B25" s="51" t="s">
        <v>116</v>
      </c>
      <c r="C25" s="57" t="s">
        <v>114</v>
      </c>
    </row>
    <row r="26" spans="2:3">
      <c r="B26" s="51" t="s">
        <v>119</v>
      </c>
      <c r="C26" s="57" t="s">
        <v>114</v>
      </c>
    </row>
    <row r="27" spans="2:3">
      <c r="B27" s="51" t="s">
        <v>125</v>
      </c>
      <c r="C27" s="57" t="s">
        <v>114</v>
      </c>
    </row>
    <row r="28" spans="2:3">
      <c r="B28" s="51" t="s">
        <v>122</v>
      </c>
      <c r="C28" s="57" t="s">
        <v>114</v>
      </c>
    </row>
    <row r="29" spans="2:3">
      <c r="B29" s="51" t="s">
        <v>128</v>
      </c>
      <c r="C29" s="57" t="s">
        <v>114</v>
      </c>
    </row>
    <row r="30" spans="2:3">
      <c r="B30" s="51" t="s">
        <v>131</v>
      </c>
      <c r="C30" s="57" t="s">
        <v>114</v>
      </c>
    </row>
    <row r="31" spans="2:3">
      <c r="B31" s="51" t="s">
        <v>159</v>
      </c>
      <c r="C31" s="57" t="s">
        <v>114</v>
      </c>
    </row>
    <row r="32" spans="2:3">
      <c r="B32" s="51" t="s">
        <v>155</v>
      </c>
      <c r="C32" s="57" t="s">
        <v>114</v>
      </c>
    </row>
    <row r="33" spans="2:3">
      <c r="B33" s="51" t="s">
        <v>162</v>
      </c>
      <c r="C33" s="57" t="s">
        <v>114</v>
      </c>
    </row>
    <row r="34" spans="2:3">
      <c r="B34" s="51" t="s">
        <v>165</v>
      </c>
      <c r="C34" s="57" t="s">
        <v>114</v>
      </c>
    </row>
    <row r="35" spans="2:3">
      <c r="B35" s="51" t="s">
        <v>137</v>
      </c>
      <c r="C35" s="57" t="s">
        <v>114</v>
      </c>
    </row>
    <row r="36" spans="2:3">
      <c r="B36" s="51" t="s">
        <v>140</v>
      </c>
      <c r="C36" s="57" t="s">
        <v>114</v>
      </c>
    </row>
    <row r="37" spans="2:3">
      <c r="B37" s="51" t="s">
        <v>143</v>
      </c>
      <c r="C37" s="57" t="s">
        <v>114</v>
      </c>
    </row>
    <row r="38" spans="2:3">
      <c r="B38" s="51" t="s">
        <v>146</v>
      </c>
      <c r="C38" s="57" t="s">
        <v>114</v>
      </c>
    </row>
    <row r="39" spans="2:3">
      <c r="B39" s="51" t="s">
        <v>149</v>
      </c>
      <c r="C39" s="57" t="s">
        <v>114</v>
      </c>
    </row>
    <row r="40" spans="2:3">
      <c r="B40" s="51" t="s">
        <v>134</v>
      </c>
      <c r="C40" s="57" t="s">
        <v>114</v>
      </c>
    </row>
    <row r="41" spans="2:3">
      <c r="B41" s="51" t="s">
        <v>152</v>
      </c>
      <c r="C41" s="57" t="s">
        <v>114</v>
      </c>
    </row>
    <row r="42" spans="3:3">
      <c r="C42" s="57" t="s"/>
    </row>
    <row r="43" spans="3:3">
      <c r="C43" s="57" t="s"/>
    </row>
    <row r="44" spans="3:3">
      <c r="C44" s="57" t="s"/>
    </row>
    <row r="45" spans="3:3">
      <c r="C45" s="57" t="s"/>
    </row>
    <row r="46" spans="3:3">
      <c r="C46" s="57" t="s"/>
    </row>
    <row r="47" spans="3:3">
      <c r="C47" s="57" t="s"/>
    </row>
    <row r="48" spans="3:3">
      <c r="C48" s="57" t="s"/>
    </row>
    <row r="49" spans="3:3">
      <c r="C49" s="57" t="s"/>
    </row>
    <row r="50" spans="3:3">
      <c r="C50" s="57" t="s"/>
    </row>
    <row r="51" spans="3:3">
      <c r="C51" s="57" t="s"/>
    </row>
    <row r="52" spans="3:3">
      <c r="C52" s="57" t="s"/>
    </row>
    <row r="53" spans="3:3">
      <c r="C53" s="57" t="s"/>
    </row>
    <row r="54" spans="3:3">
      <c r="C54" s="57" t="s"/>
    </row>
    <row r="55" spans="3:3">
      <c r="C55" s="57" t="s"/>
    </row>
    <row r="56" spans="3:3">
      <c r="C56" s="57" t="s"/>
    </row>
    <row r="57" spans="3:3">
      <c r="C57" s="57" t="s"/>
    </row>
    <row r="58" spans="3:3">
      <c r="C58" s="57" t="s"/>
    </row>
    <row r="59" spans="3:3">
      <c r="C59" s="57" t="s"/>
    </row>
    <row r="60" spans="3:3">
      <c r="C60" s="57" t="s"/>
    </row>
    <row r="61" spans="3:3">
      <c r="C61" s="57" t="s"/>
    </row>
    <row r="62" spans="3:3">
      <c r="C62" s="57" t="s"/>
    </row>
    <row r="63" spans="3:3">
      <c r="C63" s="57" t="s"/>
    </row>
    <row r="64" spans="3:3">
      <c r="C64" s="57" t="s"/>
    </row>
    <row r="65" spans="3:3">
      <c r="C65" s="57" t="s"/>
    </row>
    <row r="66" spans="3:3">
      <c r="C66" s="57" t="s"/>
    </row>
    <row r="67" spans="3:3">
      <c r="C67" s="57" t="s"/>
    </row>
    <row r="68" spans="3:3">
      <c r="C68" s="57" t="s"/>
    </row>
    <row r="69" spans="3:3">
      <c r="C69" s="57" t="s"/>
    </row>
    <row r="70" spans="3:3">
      <c r="C70" s="57" t="s"/>
    </row>
    <row r="71" spans="3:3">
      <c r="C71" s="57" t="s"/>
    </row>
    <row r="72" spans="3:3">
      <c r="C72" s="57" t="s"/>
    </row>
    <row r="73" spans="3:3">
      <c r="C73" s="57" t="s"/>
    </row>
    <row r="74" spans="3:3">
      <c r="C74" s="57" t="s"/>
    </row>
    <row r="75" spans="3:3">
      <c r="C75" s="57" t="s"/>
    </row>
    <row r="76" spans="3:3">
      <c r="C76" s="57" t="s"/>
    </row>
    <row r="77" spans="3:3">
      <c r="C77" s="57" t="s"/>
    </row>
    <row r="78" spans="3:3">
      <c r="C78" s="57" t="s"/>
    </row>
    <row r="79" spans="3:3">
      <c r="C79" s="57" t="s"/>
    </row>
    <row r="80" spans="3:3">
      <c r="C80" s="57" t="s"/>
    </row>
    <row r="81" spans="3:3">
      <c r="C81" s="57" t="s"/>
    </row>
    <row r="82" spans="3:3">
      <c r="C82" s="57" t="s"/>
    </row>
    <row r="83" spans="3:3">
      <c r="C83" s="57" t="s"/>
    </row>
    <row r="84" spans="3:3">
      <c r="C84" s="57" t="s"/>
    </row>
    <row r="85" spans="3:3">
      <c r="C85" s="57" t="s"/>
    </row>
    <row r="86" spans="3:3">
      <c r="C86" s="57" t="s"/>
    </row>
    <row r="87" spans="3:3">
      <c r="C87" s="57" t="s"/>
    </row>
    <row r="88" spans="3:3">
      <c r="C88" s="57" t="s"/>
    </row>
    <row r="89" spans="3:3">
      <c r="C89" s="57" t="s"/>
    </row>
    <row r="90" spans="3:3">
      <c r="C90" s="57" t="s"/>
    </row>
    <row r="91" spans="3:3">
      <c r="C91" s="57" t="s"/>
    </row>
    <row r="92" spans="3:3">
      <c r="C92" s="57" t="s"/>
    </row>
    <row r="93" spans="3:3">
      <c r="C93" s="57" t="s"/>
    </row>
    <row r="94" spans="3:3">
      <c r="C94" s="57" t="s"/>
    </row>
    <row r="95" spans="3:3">
      <c r="C95" s="57" t="s"/>
    </row>
    <row r="96" spans="3:3">
      <c r="C96" s="57" t="s"/>
    </row>
    <row r="97" spans="3:3">
      <c r="C97" s="57" t="s"/>
    </row>
    <row r="98" spans="3:3">
      <c r="C98" s="57" t="s"/>
    </row>
    <row r="99" spans="3:3">
      <c r="C99" s="57" t="s"/>
    </row>
    <row r="100" spans="3:3">
      <c r="C100" s="57" t="s"/>
    </row>
    <row r="101" spans="3:3">
      <c r="C101" s="57" t="s"/>
    </row>
    <row r="102" spans="3:3">
      <c r="C102" s="57" t="s"/>
    </row>
    <row r="103" spans="3:3">
      <c r="C103" s="57" t="s"/>
    </row>
    <row r="104" spans="3:3">
      <c r="C104" s="57" t="s"/>
    </row>
    <row r="105" spans="3:3">
      <c r="C105" s="57" t="s"/>
    </row>
    <row r="106" spans="3:3">
      <c r="C106" s="57" t="s"/>
    </row>
    <row r="107" spans="3:3">
      <c r="C107" s="57" t="s"/>
    </row>
    <row r="108" spans="3:3">
      <c r="C108" s="57" t="s"/>
    </row>
    <row r="109" spans="3:3">
      <c r="C109" s="57" t="s"/>
    </row>
    <row r="110" spans="3:3">
      <c r="C110" s="57" t="s"/>
    </row>
    <row r="111" spans="3:3">
      <c r="C111" s="57" t="s"/>
    </row>
    <row r="112" spans="3:3">
      <c r="C112" s="57" t="s"/>
    </row>
    <row r="113" spans="3:3">
      <c r="C113" s="57" t="s"/>
    </row>
    <row r="114" spans="3:3">
      <c r="C114" s="57" t="s"/>
    </row>
    <row r="115" spans="3:3">
      <c r="C115" s="57" t="s"/>
    </row>
    <row r="116" spans="3:3">
      <c r="C116" s="57" t="s"/>
    </row>
    <row r="117" spans="3:3">
      <c r="C117" s="57" t="s"/>
    </row>
    <row r="118" spans="3:3">
      <c r="C118" s="57" t="s"/>
    </row>
    <row r="119" spans="3:3">
      <c r="C119" s="57" t="s"/>
    </row>
    <row r="120" spans="3:3">
      <c r="C120" s="57" t="s"/>
    </row>
    <row r="121" spans="3:3">
      <c r="C121" s="57" t="s"/>
    </row>
    <row r="122" spans="3:3">
      <c r="C122" s="57" t="s"/>
    </row>
    <row r="123" spans="3:3">
      <c r="C123" s="57" t="s"/>
    </row>
    <row r="124" spans="3:3">
      <c r="C124" s="57" t="s"/>
    </row>
    <row r="125" spans="3:3">
      <c r="C125" s="57" t="s"/>
    </row>
    <row r="126" spans="3:3">
      <c r="C126" s="57" t="s"/>
    </row>
    <row r="127" spans="3:3">
      <c r="C127" s="57" t="s"/>
    </row>
    <row r="128" spans="3:3">
      <c r="C128" s="57" t="s"/>
    </row>
    <row r="129" spans="3:3">
      <c r="C129" s="57" t="s"/>
    </row>
    <row r="130" spans="3:3">
      <c r="C130" s="57" t="s"/>
    </row>
    <row r="131" spans="3:3">
      <c r="C131" s="57" t="s"/>
    </row>
    <row r="132" spans="3:3">
      <c r="C132" s="57" t="s"/>
    </row>
    <row r="133" spans="3:3">
      <c r="C133" s="57" t="s"/>
    </row>
    <row r="134" spans="3:3">
      <c r="C134" s="57" t="s"/>
    </row>
    <row r="135" spans="3:3">
      <c r="C135" s="57" t="s"/>
    </row>
    <row r="136" spans="3:3">
      <c r="C136" s="57" t="s"/>
    </row>
    <row r="137" spans="3:3">
      <c r="C137" s="57" t="s"/>
    </row>
    <row r="138" spans="3:3">
      <c r="C138" s="57" t="s"/>
    </row>
    <row r="139" spans="3:3">
      <c r="C139" s="57" t="s"/>
    </row>
    <row r="140" spans="3:3">
      <c r="C140" s="57" t="s"/>
    </row>
    <row r="141" spans="3:3">
      <c r="C141" s="57" t="s"/>
    </row>
    <row r="142" spans="3:3">
      <c r="C142" s="57" t="s"/>
    </row>
    <row r="143" spans="3:3">
      <c r="C143" s="57" t="s"/>
    </row>
    <row r="144" spans="3:3">
      <c r="C144" s="57" t="s"/>
    </row>
    <row r="145" spans="3:3">
      <c r="C145" s="57" t="s"/>
    </row>
    <row r="146" spans="3:3">
      <c r="C146" s="57" t="s"/>
    </row>
    <row r="147" spans="3:3">
      <c r="C147" s="57" t="s"/>
    </row>
    <row r="148" spans="3:3">
      <c r="C148" s="57" t="s"/>
    </row>
    <row r="149" spans="3:3">
      <c r="C149" s="57" t="s"/>
    </row>
    <row r="150" spans="3:3">
      <c r="C150" s="57" t="s"/>
    </row>
    <row r="151" spans="3:3">
      <c r="C151" s="57" t="s"/>
    </row>
    <row r="152" spans="3:3">
      <c r="C152" s="57" t="s"/>
    </row>
    <row r="153" spans="3:3">
      <c r="C153" s="57" t="s"/>
    </row>
    <row r="154" spans="3:3">
      <c r="C154" s="57" t="s"/>
    </row>
    <row r="155" spans="3:3">
      <c r="C155" s="57" t="s"/>
    </row>
    <row r="156" spans="3:3">
      <c r="C156" s="57" t="s"/>
    </row>
    <row r="157" spans="3:3">
      <c r="C157" s="57" t="s"/>
    </row>
    <row r="158" spans="3:3">
      <c r="C158" s="57" t="s"/>
    </row>
    <row r="159" spans="3:3">
      <c r="C159" s="57" t="s"/>
    </row>
    <row r="160" spans="3:3">
      <c r="C160" s="57" t="s"/>
    </row>
    <row r="161" spans="3:3">
      <c r="C161" s="57" t="s"/>
    </row>
    <row r="162" spans="3:3">
      <c r="C162" s="57" t="s"/>
    </row>
    <row r="163" spans="3:3">
      <c r="C163" s="57" t="s"/>
    </row>
    <row r="164" spans="3:3">
      <c r="C164" s="57" t="s"/>
    </row>
    <row r="165" spans="3:3">
      <c r="C165" s="57" t="s"/>
    </row>
    <row r="166" spans="3:3">
      <c r="C166" s="57" t="s"/>
    </row>
    <row r="167" spans="3:3">
      <c r="C167" s="57" t="s"/>
    </row>
    <row r="168" spans="3:3">
      <c r="C168" s="57" t="s"/>
    </row>
    <row r="169" spans="3:3">
      <c r="C169" s="57" t="s"/>
    </row>
    <row r="170" spans="3:3">
      <c r="C170" s="57" t="s"/>
    </row>
    <row r="171" spans="3:3">
      <c r="C171" s="57" t="s"/>
    </row>
    <row r="172" spans="3:3">
      <c r="C172" s="57" t="s"/>
    </row>
    <row r="173" spans="3:3">
      <c r="C173" s="57" t="s"/>
    </row>
    <row r="174" spans="3:3">
      <c r="C174" s="57" t="s"/>
    </row>
    <row r="175" spans="3:3">
      <c r="C175" s="57" t="s"/>
    </row>
    <row r="176" spans="3:3">
      <c r="C176" s="57" t="s"/>
    </row>
    <row r="177" spans="3:3">
      <c r="C177" s="57" t="s"/>
    </row>
    <row r="178" spans="3:3">
      <c r="C178" s="57" t="s"/>
    </row>
    <row r="179" spans="3:3">
      <c r="C179" s="57" t="s"/>
    </row>
    <row r="180" spans="3:3">
      <c r="C180" s="57" t="s"/>
    </row>
    <row r="181" spans="3:3">
      <c r="C181" s="57" t="s"/>
    </row>
    <row r="182" spans="3:3">
      <c r="C182" s="57" t="s"/>
    </row>
    <row r="183" spans="3:3">
      <c r="C183" s="57" t="s"/>
    </row>
    <row r="184" spans="3:3">
      <c r="C184" s="57" t="s"/>
    </row>
    <row r="185" spans="3:3">
      <c r="C185" s="57" t="s"/>
    </row>
    <row r="186" spans="3:3">
      <c r="C186" s="57" t="s"/>
    </row>
    <row r="187" spans="3:3">
      <c r="C187" s="57" t="s"/>
    </row>
    <row r="188" spans="3:3">
      <c r="C188" s="57" t="s"/>
    </row>
    <row r="189" spans="3:3">
      <c r="C189" s="57" t="s"/>
    </row>
    <row r="190" spans="3:3">
      <c r="C190" s="57" t="s"/>
    </row>
    <row r="191" spans="3:3">
      <c r="C191" s="57" t="s"/>
    </row>
    <row r="192" spans="3:3">
      <c r="C192" s="57" t="s"/>
    </row>
    <row r="193" spans="3:3">
      <c r="C193" s="57" t="s"/>
    </row>
    <row r="194" spans="3:3">
      <c r="C194" s="57" t="s"/>
    </row>
    <row r="195" spans="3:3">
      <c r="C195" s="57" t="s"/>
    </row>
    <row r="196" spans="3:3">
      <c r="C196" s="57" t="s"/>
    </row>
    <row r="197" spans="3:3">
      <c r="C197" s="57" t="s"/>
    </row>
    <row r="198" spans="3:3">
      <c r="C198" s="57" t="s"/>
    </row>
    <row r="199" spans="3:3">
      <c r="C199" s="57" t="s"/>
    </row>
    <row r="200" spans="3:3">
      <c r="C200" s="57" t="s"/>
    </row>
    <row r="201" spans="3:3">
      <c r="C201" s="32" t="s"/>
    </row>
  </sheetData>
  <conditionalFormatting sqref="D1:D201 F16">
    <cfRule type="duplicateValues" dxfId="2" priority="1"/>
  </conditionalFormatting>
  <conditionalFormatting sqref="A1:A201">
    <cfRule type="duplicateValues" dxfId="2" priority="2"/>
  </conditionalFormatting>
  <dataValidations>
    <dataValidation type="list" errorStyle="stop" allowBlank="true" showDropDown="false" showInputMessage="true" showErrorMessage="true" prompt="" sqref="C1:C1048576">
      <formula1>"✅,❌,▶️,"</formula1>
    </dataValidation>
  </dataValidation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2025-04-01T09:24:48Z</dcterms:created>
  <dcterms:modified xsi:type="dcterms:W3CDTF">2025-04-01T09:24:48Z</dcterms:modified>
</cp:coreProperties>
</file>